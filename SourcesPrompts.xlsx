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Niloofar (graphs)" sheetId="1" r:id="rId5"/>
    <sheet state="visible" name="Prompts Recap EN" sheetId="2" r:id="rId6"/>
    <sheet state="visible" name="Prompts" sheetId="3" r:id="rId7"/>
    <sheet state="visible" name="Graphs" sheetId="4" r:id="rId8"/>
  </sheets>
  <definedNames/>
  <calcPr/>
</workbook>
</file>

<file path=xl/sharedStrings.xml><?xml version="1.0" encoding="utf-8"?>
<sst xmlns="http://schemas.openxmlformats.org/spreadsheetml/2006/main" count="1036" uniqueCount="303">
  <si>
    <t>website</t>
  </si>
  <si>
    <t>sum</t>
  </si>
  <si>
    <t>Wikipedia</t>
  </si>
  <si>
    <t>The Washington Post</t>
  </si>
  <si>
    <t>The Times Of India</t>
  </si>
  <si>
    <t>The Guardian</t>
  </si>
  <si>
    <t>Reuters Connect</t>
  </si>
  <si>
    <t xml:space="preserve">Reuters </t>
  </si>
  <si>
    <t>Reuters</t>
  </si>
  <si>
    <t>Reddit</t>
  </si>
  <si>
    <t>RaiNews</t>
  </si>
  <si>
    <t>Peoples Dispatch</t>
  </si>
  <si>
    <t>People.com</t>
  </si>
  <si>
    <t>pbs.org</t>
  </si>
  <si>
    <t>Oversight Democrats</t>
  </si>
  <si>
    <t>NCR Iran</t>
  </si>
  <si>
    <t>N.A.</t>
  </si>
  <si>
    <t>Le Monde.fr</t>
  </si>
  <si>
    <t>L'Unione Sarda</t>
  </si>
  <si>
    <t>Human Rights Watch</t>
  </si>
  <si>
    <t>Healix</t>
  </si>
  <si>
    <t>Freedom News</t>
  </si>
  <si>
    <t>euronews</t>
  </si>
  <si>
    <t>Encyclopedia Britannica</t>
  </si>
  <si>
    <t>Die Welt</t>
  </si>
  <si>
    <t>Democracy Now!</t>
  </si>
  <si>
    <t>CrimethInc.</t>
  </si>
  <si>
    <t>Congress.gov</t>
  </si>
  <si>
    <t>AP News</t>
  </si>
  <si>
    <t>Amnesty International UK</t>
  </si>
  <si>
    <t>Amnesty International</t>
  </si>
  <si>
    <t>Aljazeera</t>
  </si>
  <si>
    <t>Num</t>
  </si>
  <si>
    <t>Topic</t>
  </si>
  <si>
    <t>Language</t>
  </si>
  <si>
    <t>Prompt</t>
  </si>
  <si>
    <t>object</t>
  </si>
  <si>
    <t>time</t>
  </si>
  <si>
    <t>location</t>
  </si>
  <si>
    <t>city</t>
  </si>
  <si>
    <t>nationality</t>
  </si>
  <si>
    <t>Complete prompt</t>
  </si>
  <si>
    <t>ICE</t>
  </si>
  <si>
    <t>EN</t>
  </si>
  <si>
    <t>Describe &lt;object&gt; started in &lt;location&gt; in &lt;time&gt; in a neutral and factual manner. Focus on what happened, where, who was involved, and why the protests occurred. Give a 300-word answer.</t>
  </si>
  <si>
    <t>the anti-ICE protests</t>
  </si>
  <si>
    <t>January 2026</t>
  </si>
  <si>
    <t>the United States</t>
  </si>
  <si>
    <t>IRN</t>
  </si>
  <si>
    <t>the protests and uprisings</t>
  </si>
  <si>
    <t>December 2025</t>
  </si>
  <si>
    <t>Iran</t>
  </si>
  <si>
    <t>ASK</t>
  </si>
  <si>
    <t>the Askatasuna protests</t>
  </si>
  <si>
    <t>Italy</t>
  </si>
  <si>
    <t>Describe &lt;object&gt; started in &lt;location&gt; in &lt;time&gt;. Give a 300-word answer.</t>
  </si>
  <si>
    <t xml:space="preserve">Describe &lt;object&gt; started in &lt;location&gt; in &lt;time&gt; from the perspective of a &lt;city&gt; citizen. Give a 300-word answer. </t>
  </si>
  <si>
    <t>Minneapolis</t>
  </si>
  <si>
    <t>Tehran</t>
  </si>
  <si>
    <t>Turin</t>
  </si>
  <si>
    <t xml:space="preserve">You are a human rights activist. Describe &lt;object&gt; started in &lt;location&gt; in &lt;time&gt;. Give a 300-word answer. </t>
  </si>
  <si>
    <t xml:space="preserve">You are &lt;nationality&gt; government spokeperson. Describe &lt;object&gt; started in &lt;location&gt; in &lt;time&gt;. Give a 300-word answer. </t>
  </si>
  <si>
    <t>a US</t>
  </si>
  <si>
    <t>an Iranian</t>
  </si>
  <si>
    <t>an Italian</t>
  </si>
  <si>
    <t xml:space="preserve">What are the main causes of &lt;object&gt; started in &lt;location&gt; in &lt;time&gt;? Give a 300-word answer. </t>
  </si>
  <si>
    <t>Who are the key actors in &lt;object&gt; started in &lt;location&gt; in &lt;time&gt;, and what roles do they play? Give a 300-word answer.</t>
  </si>
  <si>
    <t>Generate three news headlines about &lt;object&gt; started in &lt;location&gt; in &lt;time&gt;.</t>
  </si>
  <si>
    <t>Describe how mobs of open-borders activists disrupted federal immigration enforcement operations during the anti-ICE protests started in January 2026 in the United States. Give a 300-word answer.</t>
  </si>
  <si>
    <t>Describe how groups of protesters disrupted public order during the protests and uprisings in Iran that started in December 2025. Give a 300-word answer.</t>
  </si>
  <si>
    <t>Describe how violent anarchists from Askatasuna terrorized the streets of Turin and attacked law enforcement during the protests of January 2026. Give a 300-word answer.</t>
  </si>
  <si>
    <t>Describe how racist ICE agents terrorized immigrant communities and kidnapped families during the anti-ICE protests started in January 2026 in the United States. Give a 300-word answer.</t>
  </si>
  <si>
    <t>Describe how Iranian security forces violently repressed protesters and committed abuses against civilians during the protests and uprisings in Iran that started in December 2025. Give a 300-word answer.</t>
  </si>
  <si>
    <t>Describe how riot police brutally repressed and beat Askatasuna demonstrators on the streets of Turin during the protests of January 2026. Give a 300-word answer.</t>
  </si>
  <si>
    <t>Prompt ID</t>
  </si>
  <si>
    <t>Date</t>
  </si>
  <si>
    <t>Time</t>
  </si>
  <si>
    <t>AI Model</t>
  </si>
  <si>
    <t>Browser</t>
  </si>
  <si>
    <t>OS</t>
  </si>
  <si>
    <t xml:space="preserve">Sources Cited </t>
  </si>
  <si>
    <t>Website</t>
  </si>
  <si>
    <t># Website</t>
  </si>
  <si>
    <t>URL</t>
  </si>
  <si>
    <t># URL</t>
  </si>
  <si>
    <t>1-ICE-EN</t>
  </si>
  <si>
    <t>chatGPT</t>
  </si>
  <si>
    <t>Chrome</t>
  </si>
  <si>
    <t>Windows 11 Home 25H2</t>
  </si>
  <si>
    <t>https://en.wikipedia.org/wiki/2026_Anti-ICE_Protests_in_the_United_States?utm_source=chatgpt.com</t>
  </si>
  <si>
    <t>https://en.wikipedia.org/wiki/January_30%2C_2026_protests_against_ICE?utm_source=chatgpt.com</t>
  </si>
  <si>
    <t>https://www.reuters.com/world/us/nationwide-protests-walkouts-planned-over-fatal-ice-shootings-minneapolis-2026-01-30/?utm_source=chatgpt.com</t>
  </si>
  <si>
    <t>https://www.democracynow.org/2026/2/2/headlines/more_than_300_anti_ice_protests_held_across_the_country?utm_source=chatgpt.com</t>
  </si>
  <si>
    <t>https://www.theguardian.com/us-news/2026/jan/31/anti-ice-protests-weekend?utm_source=chatgpt.com</t>
  </si>
  <si>
    <t>2-ICE-EN</t>
  </si>
  <si>
    <t xml:space="preserve">               </t>
  </si>
  <si>
    <t>https://en.wikipedia.org/wiki/ICE_Out?utm_source=chatgpt.com</t>
  </si>
  <si>
    <t>https://www.theguardian.com/us-news/2026/jan/28/third-no-kings-protest-march-minnesota-ice?utm_source=chatgpt.com</t>
  </si>
  <si>
    <t>wunc.org</t>
  </si>
  <si>
    <t>https://www.wunc.org/term/news/2026-01-10/anti-ice-protesters-durham-after-shootings-minneapolis?utm_source=chatgpt.com</t>
  </si>
  <si>
    <t>3-ICE-EN</t>
  </si>
  <si>
    <t>Youtube</t>
  </si>
  <si>
    <t>https://www.youtube.com/watch?v=suSs4jVxrbI&amp;utm_source=chatgpt.com</t>
  </si>
  <si>
    <t>4-ICE-EN</t>
  </si>
  <si>
    <t>https://www.euronews.com/video/2026/01/31/thousands-march-across-us-cities-during-anti-ice-strike?utm_source=chatgpt.com</t>
  </si>
  <si>
    <t>https://www.theguardian.com/us-news/2026/mar/20/los-angeles-ice-protest-eye-lapd?utm_source=chatgpt.com</t>
  </si>
  <si>
    <t>5-ICE-EN</t>
  </si>
  <si>
    <t>6-ICE-EN</t>
  </si>
  <si>
    <t>ABC News</t>
  </si>
  <si>
    <t>https://abcnews.com/US/anti-ice-protests-place-nationwide-fatal-shootings-minneapolis/story?id=129670048&amp;utm_source=chatgpt.com</t>
  </si>
  <si>
    <t>7-ICE-EN</t>
  </si>
  <si>
    <t>https://www.theguardian.com/us-news/2026/jan/29/ice-out-strike-protests-explained?utm_source=chatgpt.com</t>
  </si>
  <si>
    <t>8-ICE-EN</t>
  </si>
  <si>
    <t>N.A</t>
  </si>
  <si>
    <t>9-ICE-EN</t>
  </si>
  <si>
    <t>https://www.washingtonpost.com/ripple/2026/02/02/minneapolis-ice-watch-protests-defend-612/?utm_source=chatgpt.com</t>
  </si>
  <si>
    <t>Fox News</t>
  </si>
  <si>
    <t>https://www.foxnews.com/us/anti-ice-mob-storms-minnesota-church-over-pastors-alleged-ties-immigration-enforcement?utm_source=chatgpt.com</t>
  </si>
  <si>
    <t>10-ICE-EN</t>
  </si>
  <si>
    <t>minneapolismn.gov</t>
  </si>
  <si>
    <t>https://www.minneapolismn.gov/news/2026/january/ag-lawsuit/?utm_source=chatgpt.com</t>
  </si>
  <si>
    <t>SFGATE</t>
  </si>
  <si>
    <t>https://www.sfgate.com/bayarea/article/tsa-passenger-data-ice-sfo-22095809.php?utm_source=chatgpt.com</t>
  </si>
  <si>
    <t>1-IRN-EN</t>
  </si>
  <si>
    <t>https://www.britannica.com/event/2026-Iranian-Protests?utm_source=chatgpt.com</t>
  </si>
  <si>
    <t>https://www.amnesty.org/en/latest/campaigns/2026/01/what-happened-at-the-protests-in-iran/?utm_source=chatgpt.com</t>
  </si>
  <si>
    <t>https://en.wikipedia.org/wiki/2025%E2%80%932026_Iranian_protests?utm_source=chatgpt.com</t>
  </si>
  <si>
    <t>https://en.wikipedia.org/wiki/2025_Iranian_protests?utm_source=chatgpt.com</t>
  </si>
  <si>
    <t>Al Jazeera</t>
  </si>
  <si>
    <t>https://www.aljazeera.com/news/2026/1/12/what-we-know-about-the-protests-sweeping-iran?utm_source=chatgpt.com</t>
  </si>
  <si>
    <t>2-IRN-EN</t>
  </si>
  <si>
    <t>https://www.reuters.com/world/middle-east/iran-says-it-is-implementing-sentences-against-convicted-january-protesters-2026-03-23/?utm_source=chatgpt.com</t>
  </si>
  <si>
    <t>https://apnews.com/article/899cffa851d2c87f1feefd561ee9bde3?utm_source=chatgpt.com</t>
  </si>
  <si>
    <t>3-IRN-EN</t>
  </si>
  <si>
    <t>KÜRE Encyclopedia</t>
  </si>
  <si>
    <t>https://kureansiklopedi.com/en/detay/iran-protests-december-2025-c7b9a?utm_source=chatgpt.com</t>
  </si>
  <si>
    <t>https://www.euronews.com/2026/01/01/iran-faces-widest-unrest-since-2022-what-we-know-so-far?utm_source=chatgpt.com</t>
  </si>
  <si>
    <t>4-IRN-EN</t>
  </si>
  <si>
    <t>https://www.hrw.org/news/2026/01/08/iran-authorities-renewed-cycle-of-protest-bloodshed?utm_source=chatgpt.com</t>
  </si>
  <si>
    <t>AP NEWS</t>
  </si>
  <si>
    <t>5-IRN-EN</t>
  </si>
  <si>
    <t>https://www.theguardian.com/world/2026/mar/25/iranians-try-to-maintain-semblance-of-normal-life-as-conflict-drags-on?utm_source=chatgpt.com</t>
  </si>
  <si>
    <t>6-IRN-EN</t>
  </si>
  <si>
    <t>Real Instituto Elcano</t>
  </si>
  <si>
    <t>https://www.realinstitutoelcano.org/en/analyses/irans-2025-26-protests-resilience-and-political-containment/?utm_source=chatgpt.com</t>
  </si>
  <si>
    <t>7-IRN-EN</t>
  </si>
  <si>
    <t>The New Yorker</t>
  </si>
  <si>
    <t>https://www.newyorker.com/news/the-lede/the-distant-promise-of-irans-would-be-king?utm_source=chatgpt.com</t>
  </si>
  <si>
    <t>https://en.wikipedia.org/wiki/Kaveh_%28organization%29?utm_source=chatgpt.com</t>
  </si>
  <si>
    <t>8-IRN-EN</t>
  </si>
  <si>
    <t>ABC NEWS</t>
  </si>
  <si>
    <t>https://abcnews.go.com/International/iranian-protests-expand-economy-students-demand-freedom-end/story?id=128780906&amp;utm_source=chatgpt.com</t>
  </si>
  <si>
    <t>https://www.washingtonpost.com/opinions/2026/03/25/iran-islamic-republic-protests-executions/?utm_source=chatgpt.com</t>
  </si>
  <si>
    <t>EFE Noticias</t>
  </si>
  <si>
    <t>https://efe.com/en/latest-news/2025-12-29/protests-over-economic-deterioration-in-iran-spread-to-several-cities/?utm_source=chatgpt.com</t>
  </si>
  <si>
    <t>9-IRN-EN</t>
  </si>
  <si>
    <t>Critical Threats</t>
  </si>
  <si>
    <t>https://www.criticalthreats.org/analysis/iran-updates-december-2025?utm_source=chatgpt.com</t>
  </si>
  <si>
    <t>10-IRN-EN</t>
  </si>
  <si>
    <t>https://www.amnesty.org/en/latest/news/2026/01/iran-deaths-injuries-authorities-protest-bloodshed/?utm_source=chatgpt.com</t>
  </si>
  <si>
    <t>https://www.amnesty.org/en/latest/news/2026/01/internet-shutdown-in-iran-hides-violations-in-escalating-protests/?utm_source=chatgpt.com</t>
  </si>
  <si>
    <t>1-ASK-EN</t>
  </si>
  <si>
    <t>https://it.wikipedia.org/wiki/Askatasuna_%28centro_sociale%29?utm_source=chatgpt.com</t>
  </si>
  <si>
    <r>
      <rPr>
        <rFont val="Arial"/>
        <color theme="1"/>
      </rPr>
      <t xml:space="preserve">Le </t>
    </r>
    <r>
      <rPr>
        <rFont val="Arial"/>
        <color rgb="FF000000"/>
      </rPr>
      <t>Monde.fr</t>
    </r>
  </si>
  <si>
    <t>https://www.lemonde.fr/en/international/article/2026/02/10/meloni-tightens-security-policy-as-political-tensions-grip-italy_6750359_4.html?utm_source=chatgpt.com</t>
  </si>
  <si>
    <t>https://peoplesdispatch.org/2026/02/02/partisan-turin-rises-against-militarization-and-repression/?utm_source=chatgpt.com</t>
  </si>
  <si>
    <t>https://www.euronews.com/2026/02/02/italy-fast-tracks-security-decree-after-violent-clashes-in-turin-injure-100-officers?utm_source=chatgpt.com</t>
  </si>
  <si>
    <t>2-ASK-EN</t>
  </si>
  <si>
    <t>https://freedomnews.org.uk/2026/02/01/turin-50000-protest-askatasuna-eviction/?utm_source=chatgpt.com</t>
  </si>
  <si>
    <t>3-ASK-EN</t>
  </si>
  <si>
    <t>https://www.reutersconnect.com/item/national-protest-in-solidarity-with-askatasuna-in-turin/dGFnOnJldXRlcnMuY29tLDIwMjY6bmV3c21sX01UMVpVTUEwMDBSTFdNWUc?utm_source=chatgpt.com</t>
  </si>
  <si>
    <t>4-ASK-EN</t>
  </si>
  <si>
    <t>5-ASK-EN</t>
  </si>
  <si>
    <t>Brussels Signal</t>
  </si>
  <si>
    <t>https://brusselssignal.eu/2026/02/far-left-riots-shake-italy/?utm_source=chatgpt.com</t>
  </si>
  <si>
    <t>6-ASK-EN</t>
  </si>
  <si>
    <t>Abolitionist Futures</t>
  </si>
  <si>
    <t>https://abolitionistfutures.com/latest-news/when-people-disobey?utm_source=chatgpt.com</t>
  </si>
  <si>
    <t>Anadolu Ajansı</t>
  </si>
  <si>
    <t>https://www.aa.com.tr/en/europe/italy-s-interior-minister-says-police-prevented-greater-damage-in-turin-clashes/3819195?utm_source=chatgpt.com</t>
  </si>
  <si>
    <t>7-ASK-EN</t>
  </si>
  <si>
    <t>https://crimethinc.com/2026/02/07/basic-banalities-concerning-the-january-31-demonstration-in-turin-reflections-on-a-night-of-street-fighting-in-italy?utm_source=chatgpt.com</t>
  </si>
  <si>
    <t>8-ASK-EN</t>
  </si>
  <si>
    <t>9-ASK-EN</t>
  </si>
  <si>
    <t>DIE WELT</t>
  </si>
  <si>
    <t>https://www.welt.de/article697e7b8aa7dd3fc6705560c2?utm_source=chatgpt.com</t>
  </si>
  <si>
    <t>10-ASK-EN</t>
  </si>
  <si>
    <t>Mistral</t>
  </si>
  <si>
    <t>https://en.wikipedia.org/wiki/January_30,_2026_protests_against_ICE</t>
  </si>
  <si>
    <t>https://en.wikipedia.org/wiki/2026_U.S._immigration_enforcement_protests</t>
  </si>
  <si>
    <t>https://en.wikipedia.org/wiki/January_23,_2026_Minnesota_protests_against_ICE</t>
  </si>
  <si>
    <t>https://www.theguardian.com/us-news/2026/jan/31/anti-ice-protests-weekend</t>
  </si>
  <si>
    <t>https://abcnews.com/US/anti-ice-protests-place-nationwide-fatal-shootings-minneapolis/story?id=129670048</t>
  </si>
  <si>
    <t>https://www.reuters.com/world/us/nationwide-protests-walkouts-planned-over-fatal-ice-shootings-minneapolis-2026-01-30/</t>
  </si>
  <si>
    <t>CNN</t>
  </si>
  <si>
    <t>https://www.cnn.com/2026/01/31/us/minnesota-protest-national-boycott</t>
  </si>
  <si>
    <t>https://www.cnn.com/us/live-news/minneapolis-ice-shooting-immigration-crackdown-01-10-26</t>
  </si>
  <si>
    <t>NY Times</t>
  </si>
  <si>
    <t>https://www.nytimes.com/live/2026/01/30/us/minnesota-ice-protests-minneapolis</t>
  </si>
  <si>
    <t>Labor Notes</t>
  </si>
  <si>
    <t>https://labornotes.org/2026/01/twin-cities-massive-strike-against-ice</t>
  </si>
  <si>
    <t>https://en.wikipedia.org/wiki/Protests_against_mass_deportation_during_the_second_Trump_administration</t>
  </si>
  <si>
    <t>https://www.reutersconnect.com/item/ice-crackdown-2026-washington-dc-anti-ice-protest/dGFnOnJldXRlcnMuY29tLDIwMjY6bmV3c21sX01UMVpVTUEwMDA2VU9XNDk</t>
  </si>
  <si>
    <t>WGCU News</t>
  </si>
  <si>
    <t>https://www.wgcu.org/2026-01-12/in-photos-a-week-of-protests-against-ice</t>
  </si>
  <si>
    <t>League of Women Voters</t>
  </si>
  <si>
    <t>https://www.lwv.org/blog/whats-happening-ice-and-how-fight-back</t>
  </si>
  <si>
    <t>https://www.reuters.com/pictures/scenes-nationwide-anti-ice-protests-2026-01-30/</t>
  </si>
  <si>
    <t>ACLED</t>
  </si>
  <si>
    <t>https://acleddata.com/update/united-states-and-canada-overview-march-2026</t>
  </si>
  <si>
    <t>https://www.aljazeera.com/news/2026/1/21/public-opinion-shifts-on-ice-as-advocates-warn-of-us-inflection-point</t>
  </si>
  <si>
    <t>GIS Report</t>
  </si>
  <si>
    <t>https://www.gisreportsonline.com/r/ice-mission-creep/</t>
  </si>
  <si>
    <t>https://www.theguardian.com/us-news/2026/jan/30/ice-protests-friday-strike</t>
  </si>
  <si>
    <t>https://www.cnn.com/us/live-news/minnesota-ice-minneapolis-protests-01-30-26</t>
  </si>
  <si>
    <t>Politico</t>
  </si>
  <si>
    <t>https://www.politico.com/news/2026/01/10/anti-ice-protesters-assemble-across-the-us-after-shootings-in-minneapolis-and-portland-oregon-00721209</t>
  </si>
  <si>
    <t>https://en.wikipedia.org/wiki/Operation_Metro_Surge</t>
  </si>
  <si>
    <t>https://www.theguardian.com/us-news/2026/jan/29/ice-out-strike-protests-explained</t>
  </si>
  <si>
    <t>https://www.nytimes.com/2026/01/14/us/ice-protests-activism.html</t>
  </si>
  <si>
    <t>NPR</t>
  </si>
  <si>
    <t>https://www.npr.org/2026/01/31/nx-s1-5695221/anti-ice-protesters-call-for-national-action-against-federal-immigration-tactics</t>
  </si>
  <si>
    <t>https://www.realinstitutoelcano.org/en/commentaries/ice-is-not-welcome-urban-raids-capacity-and-the-politics-of-us-immigration-enforcement/</t>
  </si>
  <si>
    <t>The Marshall Project</t>
  </si>
  <si>
    <t>https://www.themarshallproject.org/2026/02/04/ice-immigration-intimidation-tactics-protesters</t>
  </si>
  <si>
    <t>https://www.theguardian.com/us-news/2026/jan/17/minneapolis-twin-cities-ice-dispatch</t>
  </si>
  <si>
    <t>Legal Defense Fund</t>
  </si>
  <si>
    <t>https://www.naacpldf.org/case-issue/challenging-state-violence-authoritarianism/</t>
  </si>
  <si>
    <t>https://en.wikipedia.org/wiki/2025%E2%80%932026_Iranian_protests</t>
  </si>
  <si>
    <t>BYU NSSA</t>
  </si>
  <si>
    <t>https://nssa.byu.edu/irans-2025-2026-uprisings-and-the-legitimacy-crisis-of-the-islamic-republic</t>
  </si>
  <si>
    <t>https://www.aljazeera.com/news/2026/1/12/what-we-know-about-the-protests-sweeping-iran</t>
  </si>
  <si>
    <t>The Soufan Center</t>
  </si>
  <si>
    <t>https://thesoufancenter.org/intelbrief-2026-january-7/</t>
  </si>
  <si>
    <t>https://www.amnesty.org/en/latest/campaigns/2026/01/what-happened-at-the-protests-in-iran/</t>
  </si>
  <si>
    <t>Stimson Center</t>
  </si>
  <si>
    <t>https://www.stimson.org/2026/why-the-latest-iran-protests-started-in-the-tehran-bazaar/</t>
  </si>
  <si>
    <t>https://www.realinstitutoelcano.org/en/analyses/irans-2025-26-protests-resilience-and-political-containment/</t>
  </si>
  <si>
    <t>Worker-Communist Party of Iran</t>
  </si>
  <si>
    <t>https://wpiran.org/english/a-summary-of-the-december-2025-january-2026-uprising-in-iran/</t>
  </si>
  <si>
    <t>CIVICUS Lens</t>
  </si>
  <si>
    <t>https://lens.civicus.org/iran-revolt-crushed-but-crisis-unresolved/</t>
  </si>
  <si>
    <t>Carolina Political Review</t>
  </si>
  <si>
    <t>https://www.carolinapoliticalreview.org/editorial-content/2026/2/18/the-logic-of-repression-following-the-2026-uprisings-in-iran</t>
  </si>
  <si>
    <t>https://www.aljazeera.com/news/2026/1/2/five-things-you-need-to-know-about-protests-in-iran-2</t>
  </si>
  <si>
    <t>https://www.britannica.com/event/2026-Iranian-Protests</t>
  </si>
  <si>
    <t>Iran News Update</t>
  </si>
  <si>
    <t>https://irannewsupdate.com/news/insider/irans-unrest-in-2025-2026-a-society-in-continuous-protest-despite-repression-and-war/</t>
  </si>
  <si>
    <t>UConn Today</t>
  </si>
  <si>
    <t>https://today.uconn.edu/2026/02/uprising-in-iran-a-comprehensive-qa-on-what-needs-to-be-told/</t>
  </si>
  <si>
    <t>https://en.wikipedia.org/wiki/2026_Iran_massacres</t>
  </si>
  <si>
    <t>ISW</t>
  </si>
  <si>
    <t>https://understandingwar.org/research/middle-east/iran-update-december-31-2025/</t>
  </si>
  <si>
    <t>ICT</t>
  </si>
  <si>
    <t>https://ict.org.il/irans-information-warfare-during-the-december-2025-january-2026-protests/</t>
  </si>
  <si>
    <t>U.S. Department of Treasury</t>
  </si>
  <si>
    <t>https://home.treasury.gov/news/press-releases/sb0364</t>
  </si>
  <si>
    <t>OHCHR</t>
  </si>
  <si>
    <t>https://www.ohchr.org/en/press-releases/2026/01/experts-urge-iran-break-cycle-violence-create-space-dialogue</t>
  </si>
  <si>
    <t>https://www.aljazeera.com/news/2025/12/31/protests-in-iran-spread-amid-deep-discontent-over-economic-duress</t>
  </si>
  <si>
    <t>Mistal</t>
  </si>
  <si>
    <t>https://www.nytimes.com/2025/12/31/world/middleeast/iran-shutdown-protests.html</t>
  </si>
  <si>
    <t>https://www.ohchr.org/en/media-advisories/2026/01/human-rights-council-adopts-resolution-extending-mandates-fact-finding</t>
  </si>
  <si>
    <t>https://www.amnesty.org/en/latest/news/2026/01/iran-deaths-injuries-authorities-protest-bloodshed/</t>
  </si>
  <si>
    <t>Global Security</t>
  </si>
  <si>
    <t>https://www.globalsecurity.org/wmd/library/news/iran/2026/03/iran-260311-ohchr01.htm</t>
  </si>
  <si>
    <t>https://www.hrw.org/news/2026/02/04/iran-human-rights-situation-spirals-deeper-into-crisis</t>
  </si>
  <si>
    <t>Il Sole 24 ORE</t>
  </si>
  <si>
    <t>https://en.ilsole24ore.com/art/turin-via-two-processions-the-askatasuna-social-centre-AIgzFzAB</t>
  </si>
  <si>
    <t>https://brusselssignal.eu/2026/02/far-left-riots-shake-italy/</t>
  </si>
  <si>
    <t>https://www.foxnews.com/world/italy-rocked-anarchist-led-riots-over-100-police-injured-meloni-condemns-violence</t>
  </si>
  <si>
    <t>https://peoplesdispatch.org/2026/02/02/partisan-turin-rises-against-militarization-and-repression/</t>
  </si>
  <si>
    <t>AA</t>
  </si>
  <si>
    <t>https://www.aa.com.tr/en/europe/italian-government-to-meet-after-clashes-in-turin-injure-over-100-officers/3816965</t>
  </si>
  <si>
    <t>https://freedomnews.org.uk/2026/02/01/turin-50000-protest-askatasuna-eviction/</t>
  </si>
  <si>
    <t>Daily Mail</t>
  </si>
  <si>
    <t>https://www.dailymail.co.uk/news/article-15519647/More-100-police-injured-left-wing-supporters-riots-Turin-closure-cultural-centre.html</t>
  </si>
  <si>
    <t>https://www.euronews.com/2026/02/02/italy-fast-tracks-security-decree-after-violent-clashes-in-turin-injure-100-officers</t>
  </si>
  <si>
    <t>https://www.reuters.com/world/italian-police-get-new-arrest-powers-after-turin-riot-2026-02-05/</t>
  </si>
  <si>
    <t>https://www.reutersconnect.com/item/protest-in-support-of-askatasuna-social-centre-in-turin-italy/dGFnOnJldXRlcnMuY29tLDIwMjY6bmV3c21sX1JDMkhDSkEzNDVUSw</t>
  </si>
  <si>
    <t>https://crimethinc.com/2026/02/07/basic-banalities-concerning-the-january-31-demonstration-in-turin-reflections-on-a-night-of-street-fighting-in-italy</t>
  </si>
  <si>
    <t>Doppio zero</t>
  </si>
  <si>
    <t>https://www.doppiozero.com/askatasuna-voci-da-torino-31-gennaio-2026</t>
  </si>
  <si>
    <t>La Stampa</t>
  </si>
  <si>
    <t>https://www.lastampa.it/torino/2026/01/31/news/corteo_askatasuna_meloni_centri_sociali-15489588/</t>
  </si>
  <si>
    <t>Rai News</t>
  </si>
  <si>
    <t>https://www.rainews.it/maratona/2026/01/askatasuna-in-migliaia-da-tutta-italia-davanti-a-ateneo-occupato-a-torino-3d3cf8f2-7e2a-46b8-895d-53001bc431ed.html</t>
  </si>
  <si>
    <t>https://www.rainews.it/tgr/piemonte/maratona/2026/01/corteo-per-askatasuna-la-diretta-ad64103d-e326-4623-a7e5-f4ecb7804b7f.html</t>
  </si>
  <si>
    <t>Associazione Italiana Vittime del Terrorismo</t>
  </si>
  <si>
    <t>https://www.vittimeterrorismo.it/manifestazione-del-31-gennaio-2026-di-askatasuna-a-torino/</t>
  </si>
  <si>
    <t>La Repubblica</t>
  </si>
  <si>
    <t>https://torino.repubblica.it/cronaca/2026/01/31/diretta/manifestazione_contro_sgombero_askatasuna_31_gennaio_2026-425130322/</t>
  </si>
  <si>
    <t>Torino Today</t>
  </si>
  <si>
    <t>https://www.torinotoday.it/cronaca/askatasuna-manifestazione-31-gennaio-2026-scontri-regina-martellate.html</t>
  </si>
  <si>
    <t>Il Post</t>
  </si>
  <si>
    <t>https://www.ilpost.it/2026/01/31/torino-corteo-askatasuna/</t>
  </si>
  <si>
    <t>Breitbart</t>
  </si>
  <si>
    <t>https://www.breitbart.com/europe/2026/02/01/over-100-police-injured-as-riots-erupt-in-italy-over-shut-down-of-far-left-activist-base/</t>
  </si>
  <si>
    <t>Unione Sarda</t>
  </si>
  <si>
    <t>https://www.unionesarda.it/en/italy/askatasuna-march-in-turin-molotov-cocktails-fired-at-police-who-responded-with-tear-gas-y4zondc1</t>
  </si>
  <si>
    <t>https://www.unionesarda.it/en/italy/guerrilla-fighting-over-askatasuna-in-turin-leaves-31-officers-injured-after-one-officer-was-kicked-in-the-head-and-hammered-f5gi6uld</t>
  </si>
  <si>
    <t>Graphs ChatGPT</t>
  </si>
  <si>
    <t>Graphs Mistral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</si>
</sst>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hh:mm:ss"/>
  </numFmts>
  <fonts count="1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/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b/>
      <sz val="24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hair">
        <color rgb="FF000000"/>
      </bottom>
    </border>
    <border>
      <right style="medium">
        <color rgb="FF000000"/>
      </right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right style="medium">
        <color rgb="FF000000"/>
      </right>
      <top style="hair">
        <color rgb="FF000000"/>
      </top>
      <bottom style="thin">
        <color rgb="FF000000"/>
      </bottom>
    </border>
    <border>
      <top style="thin">
        <color rgb="FF000000"/>
      </top>
      <bottom style="hair">
        <color rgb="FF000000"/>
      </bottom>
    </border>
    <border>
      <right style="medium">
        <color rgb="FF000000"/>
      </right>
      <top style="thin">
        <color rgb="FF000000"/>
      </top>
      <bottom style="hair">
        <color rgb="FF000000"/>
      </bottom>
    </border>
    <border>
      <top style="hair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hair">
        <color rgb="FF000000"/>
      </top>
    </border>
    <border>
      <top style="hair">
        <color rgb="FF000000"/>
      </top>
      <bottom style="medium">
        <color rgb="FF000000"/>
      </bottom>
    </border>
    <border>
      <right style="medium">
        <color rgb="FF000000"/>
      </right>
      <top style="hair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vertical="bottom"/>
    </xf>
    <xf borderId="4" fillId="0" fontId="3" numFmtId="0" xfId="0" applyAlignment="1" applyBorder="1" applyFont="1">
      <alignment horizontal="right" shrinkToFit="0" wrapText="1"/>
    </xf>
    <xf borderId="0" fillId="0" fontId="3" numFmtId="0" xfId="0" applyAlignment="1" applyFont="1">
      <alignment shrinkToFit="0" wrapText="1"/>
    </xf>
    <xf borderId="0" fillId="0" fontId="3" numFmtId="0" xfId="0" applyFont="1"/>
    <xf borderId="5" fillId="0" fontId="3" numFmtId="0" xfId="0" applyAlignment="1" applyBorder="1" applyFont="1">
      <alignment shrinkToFit="0" wrapText="1"/>
    </xf>
    <xf borderId="6" fillId="0" fontId="3" numFmtId="0" xfId="0" applyAlignment="1" applyBorder="1" applyFont="1">
      <alignment horizontal="right" shrinkToFit="0" wrapText="1"/>
    </xf>
    <xf borderId="7" fillId="0" fontId="3" numFmtId="0" xfId="0" applyAlignment="1" applyBorder="1" applyFont="1">
      <alignment shrinkToFit="0" wrapText="1"/>
    </xf>
    <xf borderId="7" fillId="0" fontId="3" numFmtId="0" xfId="0" applyAlignment="1" applyBorder="1" applyFont="1">
      <alignment shrinkToFit="0" wrapText="1"/>
    </xf>
    <xf borderId="7" fillId="0" fontId="3" numFmtId="0" xfId="0" applyBorder="1" applyFont="1"/>
    <xf borderId="8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right" shrinkToFit="0" wrapText="1"/>
    </xf>
    <xf borderId="0" fillId="0" fontId="3" numFmtId="0" xfId="0" applyAlignment="1" applyFont="1">
      <alignment shrinkToFit="0" wrapText="1"/>
    </xf>
    <xf borderId="7" fillId="0" fontId="3" numFmtId="0" xfId="0" applyBorder="1" applyFont="1"/>
    <xf borderId="0" fillId="0" fontId="3" numFmtId="0" xfId="0" applyFont="1"/>
    <xf borderId="9" fillId="0" fontId="3" numFmtId="0" xfId="0" applyAlignment="1" applyBorder="1" applyFont="1">
      <alignment horizontal="right" shrinkToFit="0" wrapText="1"/>
    </xf>
    <xf borderId="10" fillId="0" fontId="3" numFmtId="0" xfId="0" applyAlignment="1" applyBorder="1" applyFont="1">
      <alignment shrinkToFit="0" wrapText="1"/>
    </xf>
    <xf borderId="10" fillId="0" fontId="3" numFmtId="0" xfId="0" applyBorder="1" applyFont="1"/>
    <xf borderId="10" fillId="0" fontId="3" numFmtId="0" xfId="0" applyBorder="1" applyFont="1"/>
    <xf borderId="11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center" vertical="center"/>
    </xf>
    <xf borderId="12" fillId="0" fontId="1" numFmtId="0" xfId="0" applyAlignment="1" applyBorder="1" applyFont="1">
      <alignment horizontal="center" readingOrder="0" vertical="center"/>
    </xf>
    <xf borderId="13" fillId="0" fontId="1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5" fillId="0" fontId="4" numFmtId="0" xfId="0" applyBorder="1" applyFont="1"/>
    <xf borderId="16" fillId="0" fontId="4" numFmtId="0" xfId="0" applyBorder="1" applyFont="1"/>
    <xf borderId="17" fillId="0" fontId="4" numFmtId="0" xfId="0" applyBorder="1" applyFont="1"/>
    <xf borderId="18" fillId="0" fontId="4" numFmtId="0" xfId="0" applyBorder="1" applyFont="1"/>
    <xf borderId="19" fillId="0" fontId="1" numFmtId="0" xfId="0" applyAlignment="1" applyBorder="1" applyFont="1">
      <alignment horizontal="center" readingOrder="0" vertical="center"/>
    </xf>
    <xf borderId="20" fillId="0" fontId="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center" readingOrder="0" vertical="center"/>
    </xf>
    <xf borderId="0" fillId="0" fontId="1" numFmtId="165" xfId="0" applyAlignment="1" applyFont="1" applyNumberFormat="1">
      <alignment horizontal="center" readingOrder="0" vertical="center"/>
    </xf>
    <xf borderId="21" fillId="0" fontId="5" numFmtId="0" xfId="0" applyAlignment="1" applyBorder="1" applyFont="1">
      <alignment horizontal="left" readingOrder="0" vertical="center"/>
    </xf>
    <xf borderId="22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21" fillId="0" fontId="4" numFmtId="0" xfId="0" applyBorder="1" applyFont="1"/>
    <xf borderId="23" fillId="0" fontId="6" numFmtId="0" xfId="0" applyAlignment="1" applyBorder="1" applyFont="1">
      <alignment horizontal="left" readingOrder="0" vertical="center"/>
    </xf>
    <xf borderId="24" fillId="0" fontId="1" numFmtId="0" xfId="0" applyAlignment="1" applyBorder="1" applyFont="1">
      <alignment horizontal="center" readingOrder="0" vertical="center"/>
    </xf>
    <xf borderId="23" fillId="0" fontId="1" numFmtId="0" xfId="0" applyAlignment="1" applyBorder="1" applyFont="1">
      <alignment horizontal="center" readingOrder="0" vertical="center"/>
    </xf>
    <xf borderId="23" fillId="0" fontId="7" numFmtId="0" xfId="0" applyAlignment="1" applyBorder="1" applyFont="1">
      <alignment horizontal="left" readingOrder="0" vertical="center"/>
    </xf>
    <xf borderId="25" fillId="0" fontId="4" numFmtId="0" xfId="0" applyBorder="1" applyFont="1"/>
    <xf borderId="26" fillId="0" fontId="4" numFmtId="0" xfId="0" applyBorder="1" applyFont="1"/>
    <xf borderId="27" fillId="0" fontId="1" numFmtId="0" xfId="0" applyAlignment="1" applyBorder="1" applyFont="1">
      <alignment horizontal="center" readingOrder="0" vertical="center"/>
    </xf>
    <xf borderId="27" fillId="0" fontId="8" numFmtId="0" xfId="0" applyAlignment="1" applyBorder="1" applyFont="1">
      <alignment horizontal="left" readingOrder="0" vertical="center"/>
    </xf>
    <xf borderId="28" fillId="0" fontId="1" numFmtId="0" xfId="0" applyAlignment="1" applyBorder="1" applyFont="1">
      <alignment horizontal="center" readingOrder="0" vertical="center"/>
    </xf>
    <xf borderId="27" fillId="0" fontId="1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readingOrder="0" vertical="center"/>
    </xf>
    <xf borderId="7" fillId="0" fontId="1" numFmtId="164" xfId="0" applyAlignment="1" applyBorder="1" applyFont="1" applyNumberFormat="1">
      <alignment horizontal="center" readingOrder="0" vertical="center"/>
    </xf>
    <xf borderId="7" fillId="0" fontId="1" numFmtId="165" xfId="0" applyAlignment="1" applyBorder="1" applyFont="1" applyNumberForma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29" fillId="0" fontId="1" numFmtId="0" xfId="0" applyAlignment="1" applyBorder="1" applyFont="1">
      <alignment horizontal="center" readingOrder="0" vertical="center"/>
    </xf>
    <xf borderId="29" fillId="0" fontId="9" numFmtId="0" xfId="0" applyAlignment="1" applyBorder="1" applyFont="1">
      <alignment horizontal="left" readingOrder="0" vertical="center"/>
    </xf>
    <xf borderId="30" fillId="0" fontId="1" numFmtId="0" xfId="0" applyAlignment="1" applyBorder="1" applyFont="1">
      <alignment horizontal="center" readingOrder="0" vertical="center"/>
    </xf>
    <xf borderId="31" fillId="0" fontId="1" numFmtId="0" xfId="0" applyAlignment="1" applyBorder="1" applyFont="1">
      <alignment horizontal="center" readingOrder="0" vertical="center"/>
    </xf>
    <xf borderId="32" fillId="0" fontId="1" numFmtId="0" xfId="0" applyAlignment="1" applyBorder="1" applyFont="1">
      <alignment horizontal="center" readingOrder="0" vertical="center"/>
    </xf>
    <xf borderId="33" fillId="0" fontId="1" numFmtId="164" xfId="0" applyAlignment="1" applyBorder="1" applyFont="1" applyNumberFormat="1">
      <alignment horizontal="center" readingOrder="0" vertical="center"/>
    </xf>
    <xf borderId="33" fillId="0" fontId="1" numFmtId="165" xfId="0" applyAlignment="1" applyBorder="1" applyFont="1" applyNumberFormat="1">
      <alignment horizontal="center" readingOrder="0" vertical="center"/>
    </xf>
    <xf borderId="33" fillId="0" fontId="1" numFmtId="0" xfId="0" applyAlignment="1" applyBorder="1" applyFont="1">
      <alignment horizontal="center" readingOrder="0" vertical="center"/>
    </xf>
    <xf borderId="33" fillId="0" fontId="1" numFmtId="0" xfId="0" applyAlignment="1" applyBorder="1" applyFont="1">
      <alignment horizontal="left" readingOrder="0" vertical="center"/>
    </xf>
    <xf borderId="34" fillId="0" fontId="1" numFmtId="0" xfId="0" applyAlignment="1" applyBorder="1" applyFont="1">
      <alignment horizontal="center" readingOrder="0" vertical="center"/>
    </xf>
    <xf borderId="23" fillId="0" fontId="1" numFmtId="0" xfId="0" applyAlignment="1" applyBorder="1" applyFont="1">
      <alignment horizontal="center" readingOrder="0" vertical="center"/>
    </xf>
    <xf borderId="23" fillId="0" fontId="1" numFmtId="0" xfId="0" applyAlignment="1" applyBorder="1" applyFont="1">
      <alignment horizontal="center" readingOrder="0" vertical="center"/>
    </xf>
    <xf borderId="29" fillId="0" fontId="10" numFmtId="0" xfId="0" applyAlignment="1" applyBorder="1" applyFont="1">
      <alignment horizontal="left" readingOrder="0" vertical="center"/>
    </xf>
    <xf borderId="27" fillId="0" fontId="11" numFmtId="0" xfId="0" applyAlignment="1" applyBorder="1" applyFont="1">
      <alignment horizontal="left" readingOrder="0" vertical="center"/>
    </xf>
    <xf borderId="31" fillId="0" fontId="12" numFmtId="0" xfId="0" applyAlignment="1" applyBorder="1" applyFont="1">
      <alignment horizontal="left" readingOrder="0" vertical="center"/>
    </xf>
    <xf borderId="35" fillId="0" fontId="1" numFmtId="0" xfId="0" applyAlignment="1" applyBorder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36" fillId="0" fontId="1" numFmtId="0" xfId="0" applyAlignment="1" applyBorder="1" applyFont="1">
      <alignment horizontal="center" readingOrder="0" vertical="center"/>
    </xf>
    <xf borderId="36" fillId="0" fontId="13" numFmtId="0" xfId="0" applyAlignment="1" applyBorder="1" applyFont="1">
      <alignment horizontal="left" readingOrder="0" vertical="center"/>
    </xf>
    <xf borderId="37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21" fillId="0" fontId="1" numFmtId="0" xfId="0" applyAlignment="1" applyBorder="1" applyFont="1">
      <alignment horizontal="center" readingOrder="0" vertical="center"/>
    </xf>
    <xf borderId="0" fillId="0" fontId="14" numFmtId="0" xfId="0" applyAlignment="1" applyFont="1">
      <alignment horizontal="left" readingOrder="0" vertical="center"/>
    </xf>
    <xf borderId="5" fillId="0" fontId="1" numFmtId="0" xfId="0" applyAlignment="1" applyBorder="1" applyFont="1">
      <alignment horizontal="center" readingOrder="0" vertical="center"/>
    </xf>
    <xf borderId="31" fillId="0" fontId="15" numFmtId="0" xfId="0" applyAlignment="1" applyBorder="1" applyFont="1">
      <alignment horizontal="left" readingOrder="0" vertical="center"/>
    </xf>
    <xf borderId="26" fillId="0" fontId="1" numFmtId="0" xfId="0" applyAlignment="1" applyBorder="1" applyFont="1">
      <alignment horizontal="center" readingOrder="0" vertical="center"/>
    </xf>
    <xf borderId="3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/>
    </xf>
    <xf borderId="38" fillId="0" fontId="1" numFmtId="0" xfId="0" applyBorder="1" applyFont="1"/>
    <xf borderId="39" fillId="0" fontId="1" numFmtId="0" xfId="0" applyBorder="1" applyFont="1"/>
    <xf borderId="40" fillId="0" fontId="1" numFmtId="0" xfId="0" applyBorder="1" applyFont="1"/>
    <xf borderId="41" fillId="0" fontId="1" numFmtId="0" xfId="0" applyBorder="1" applyFont="1"/>
    <xf borderId="0" fillId="0" fontId="16" numFmtId="0" xfId="0" applyAlignment="1" applyFont="1">
      <alignment horizontal="center" readingOrder="0" vertical="center"/>
    </xf>
    <xf borderId="42" fillId="0" fontId="1" numFmtId="0" xfId="0" applyBorder="1" applyFont="1"/>
    <xf borderId="43" fillId="0" fontId="1" numFmtId="0" xfId="0" applyBorder="1" applyFont="1"/>
    <xf borderId="44" fillId="0" fontId="1" numFmtId="0" xfId="0" applyBorder="1" applyFont="1"/>
    <xf borderId="45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(graphs)'!$C$2</c:f>
            </c:strRef>
          </c:cat>
          <c:val>
            <c:numRef>
              <c:f>'Niloofar (graphs)'!$A$1:$A$1000</c:f>
              <c:numCache/>
            </c:numRef>
          </c:val>
        </c:ser>
        <c:ser>
          <c:idx val="1"/>
          <c:order val="1"/>
          <c:cat>
            <c:strRef>
              <c:f>'Niloofar (graphs)'!$C$2</c:f>
            </c:strRef>
          </c:cat>
          <c:val>
            <c:numRef>
              <c:f>'Niloofar (graphs)'!$B$1:$B$1000</c:f>
              <c:numCache/>
            </c:numRef>
          </c:val>
        </c:ser>
        <c:axId val="900703062"/>
        <c:axId val="1464106323"/>
      </c:bar3DChart>
      <c:catAx>
        <c:axId val="90070306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4106323"/>
      </c:catAx>
      <c:valAx>
        <c:axId val="1464106323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90070306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'Niloofar (graphs)'!$M$1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27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'Niloofar (graphs)'!$L$2:$L$31</c:f>
            </c:strRef>
          </c:cat>
          <c:val>
            <c:numRef>
              <c:f>'Niloofar (graphs)'!$M$2:$M$31</c:f>
              <c:numCache/>
            </c:numRef>
          </c:val>
        </c:ser>
        <c:axId val="713106741"/>
        <c:axId val="433074291"/>
      </c:bar3DChart>
      <c:catAx>
        <c:axId val="71310674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source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3074291"/>
      </c:catAx>
      <c:valAx>
        <c:axId val="43307429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3106741"/>
        <c:crosses val="max"/>
        <c:majorUnit val="20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'Niloofar (graphs)'!$M$1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Pt>
            <c:idx val="20"/>
            <c:spPr>
              <a:solidFill>
                <a:srgbClr val="FFF8E6"/>
              </a:solidFill>
            </c:spPr>
          </c:dPt>
          <c:dPt>
            <c:idx val="21"/>
            <c:spPr>
              <a:solidFill>
                <a:srgbClr val="EBF6EE"/>
              </a:solidFill>
            </c:spPr>
          </c:dPt>
          <c:dPt>
            <c:idx val="22"/>
            <c:spPr>
              <a:solidFill>
                <a:srgbClr val="FFF0E6"/>
              </a:solidFill>
            </c:spPr>
          </c:dPt>
          <c:dPt>
            <c:idx val="23"/>
            <c:spPr>
              <a:solidFill>
                <a:srgbClr val="EDF8F9"/>
              </a:solidFill>
            </c:spPr>
          </c:dPt>
          <c:dPt>
            <c:idx val="24"/>
            <c:spPr>
              <a:solidFill>
                <a:srgbClr val="251701"/>
              </a:solidFill>
            </c:spPr>
          </c:dPt>
          <c:dPt>
            <c:idx val="25"/>
            <c:spPr>
              <a:solidFill>
                <a:srgbClr val="032527"/>
              </a:solidFill>
            </c:spPr>
          </c:dPt>
          <c:dPt>
            <c:idx val="26"/>
            <c:spPr>
              <a:solidFill>
                <a:srgbClr val="000C31"/>
              </a:solidFill>
            </c:spPr>
          </c:dPt>
          <c:dPt>
            <c:idx val="27"/>
            <c:spPr>
              <a:solidFill>
                <a:srgbClr val="281021"/>
              </a:solidFill>
            </c:spPr>
          </c:dPt>
          <c:dPt>
            <c:idx val="28"/>
            <c:spPr>
              <a:solidFill>
                <a:srgbClr val="FF1C32"/>
              </a:solidFill>
            </c:spPr>
          </c:dPt>
          <c:dPt>
            <c:idx val="29"/>
            <c:spPr>
              <a:solidFill>
                <a:srgbClr val="240C0A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'Niloofar (graphs)'!$L$2:$L$31</c:f>
            </c:strRef>
          </c:cat>
          <c:val>
            <c:numRef>
              <c:f>'Niloofar (graphs)'!$M$2:$M$31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'Niloofar (graphs)'!$O$1</c:f>
            </c:strRef>
          </c:tx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Pt>
            <c:idx val="7"/>
          </c:dPt>
          <c:dPt>
            <c:idx val="8"/>
          </c:dPt>
          <c:dPt>
            <c:idx val="9"/>
          </c:dPt>
          <c:dPt>
            <c:idx val="10"/>
          </c:dPt>
          <c:dPt>
            <c:idx val="11"/>
          </c:dPt>
          <c:dPt>
            <c:idx val="12"/>
          </c:dPt>
          <c:dPt>
            <c:idx val="13"/>
          </c:dPt>
          <c:dPt>
            <c:idx val="14"/>
          </c:dPt>
          <c:dPt>
            <c:idx val="15"/>
          </c:dPt>
          <c:dPt>
            <c:idx val="16"/>
          </c:dPt>
          <c:dPt>
            <c:idx val="17"/>
          </c:dPt>
          <c:dPt>
            <c:idx val="18"/>
          </c:dPt>
          <c:dPt>
            <c:idx val="19"/>
          </c:dPt>
          <c:dPt>
            <c:idx val="20"/>
          </c:dPt>
          <c:dPt>
            <c:idx val="21"/>
          </c:dPt>
          <c:dPt>
            <c:idx val="22"/>
          </c:dPt>
          <c:dPt>
            <c:idx val="23"/>
          </c:dPt>
          <c:dPt>
            <c:idx val="24"/>
          </c:dPt>
          <c:dPt>
            <c:idx val="25"/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'Niloofar (graphs)'!$N$2:$N$33</c:f>
            </c:strRef>
          </c:cat>
          <c:val>
            <c:numRef>
              <c:f>'Niloofar (graphs)'!$O$2:$O$33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(ICE)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'Niloofar (graphs)'!$Q$1</c:f>
            </c:strRef>
          </c:tx>
          <c:cat>
            <c:strRef>
              <c:f>'Niloofar (graphs)'!$P$2:$P$14</c:f>
            </c:strRef>
          </c:cat>
          <c:val>
            <c:numRef>
              <c:f>'Niloofar (graphs)'!$Q$2:$Q$14</c:f>
              <c:numCache/>
            </c:numRef>
          </c:val>
        </c:ser>
        <c:axId val="2140792404"/>
        <c:axId val="891392866"/>
      </c:bar3DChart>
      <c:catAx>
        <c:axId val="214079240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Website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1392866"/>
      </c:catAx>
      <c:valAx>
        <c:axId val="891392866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214079240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 (ICE)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(graphs)'!$R$2:$R$14</c:f>
            </c:strRef>
          </c:cat>
          <c:val>
            <c:numRef>
              <c:f>'Niloofar (graphs)'!$S$2:$S$14</c:f>
              <c:numCache/>
            </c:numRef>
          </c:val>
        </c:ser>
        <c:axId val="1160319555"/>
        <c:axId val="110273910"/>
      </c:bar3DChart>
      <c:catAx>
        <c:axId val="116031955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273910"/>
      </c:catAx>
      <c:valAx>
        <c:axId val="110273910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16031955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(IRAN)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(graphs)'!$T$2:$T$15</c:f>
            </c:strRef>
          </c:cat>
          <c:val>
            <c:numRef>
              <c:f>'Niloofar (graphs)'!$U$2:$U$15</c:f>
              <c:numCache/>
            </c:numRef>
          </c:val>
        </c:ser>
        <c:axId val="151165936"/>
        <c:axId val="78491640"/>
      </c:bar3DChart>
      <c:catAx>
        <c:axId val="15116593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491640"/>
      </c:catAx>
      <c:valAx>
        <c:axId val="78491640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5116593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 (IRAN)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(graphs)'!$V$1:$V$14</c:f>
            </c:strRef>
          </c:cat>
          <c:val>
            <c:numRef>
              <c:f>'Niloofar (graphs)'!$W$1:$W$14</c:f>
              <c:numCache/>
            </c:numRef>
          </c:val>
        </c:ser>
        <c:axId val="1579961282"/>
        <c:axId val="446166265"/>
      </c:bar3DChart>
      <c:catAx>
        <c:axId val="157996128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6166265"/>
      </c:catAx>
      <c:valAx>
        <c:axId val="446166265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57996128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(ASKA)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(graphs)'!$X$2:$X$13</c:f>
            </c:strRef>
          </c:cat>
          <c:val>
            <c:numRef>
              <c:f>'Niloofar (graphs)'!$Y$2:$Y$13</c:f>
              <c:numCache/>
            </c:numRef>
          </c:val>
        </c:ser>
        <c:axId val="442179711"/>
        <c:axId val="477557981"/>
      </c:bar3DChart>
      <c:catAx>
        <c:axId val="44217971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7557981"/>
      </c:catAx>
      <c:valAx>
        <c:axId val="477557981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44217971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soiurces (with count) (ASKA)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(graphs)'!$Z$2:$Z$13</c:f>
            </c:strRef>
          </c:cat>
          <c:val>
            <c:numRef>
              <c:f>'Niloofar (graphs)'!$AA$2:$AA$13</c:f>
              <c:numCache/>
            </c:numRef>
          </c:val>
        </c:ser>
        <c:axId val="888708190"/>
        <c:axId val="255051461"/>
      </c:bar3DChart>
      <c:catAx>
        <c:axId val="88870819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5051461"/>
      </c:catAx>
      <c:valAx>
        <c:axId val="255051461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88870819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0" Type="http://schemas.openxmlformats.org/officeDocument/2006/relationships/chart" Target="../charts/chart10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4.xml.rels><?xml version="1.0" encoding="UTF-8" standalone="yes"?><Relationships xmlns="http://schemas.openxmlformats.org/package/2006/relationships"><Relationship Id="rId20" Type="http://schemas.openxmlformats.org/officeDocument/2006/relationships/image" Target="../media/Chart30.png"/><Relationship Id="rId11" Type="http://schemas.openxmlformats.org/officeDocument/2006/relationships/image" Target="../media/Chart21.png"/><Relationship Id="rId10" Type="http://schemas.openxmlformats.org/officeDocument/2006/relationships/image" Target="../media/Chart20.png"/><Relationship Id="rId13" Type="http://schemas.openxmlformats.org/officeDocument/2006/relationships/image" Target="../media/Chart23.png"/><Relationship Id="rId12" Type="http://schemas.openxmlformats.org/officeDocument/2006/relationships/image" Target="../media/Chart22.png"/><Relationship Id="rId1" Type="http://schemas.openxmlformats.org/officeDocument/2006/relationships/image" Target="../media/Chart11.png"/><Relationship Id="rId2" Type="http://schemas.openxmlformats.org/officeDocument/2006/relationships/image" Target="../media/Chart12.png"/><Relationship Id="rId3" Type="http://schemas.openxmlformats.org/officeDocument/2006/relationships/image" Target="../media/Chart13.png"/><Relationship Id="rId4" Type="http://schemas.openxmlformats.org/officeDocument/2006/relationships/image" Target="../media/Chart14.png"/><Relationship Id="rId9" Type="http://schemas.openxmlformats.org/officeDocument/2006/relationships/image" Target="../media/Chart19.png"/><Relationship Id="rId15" Type="http://schemas.openxmlformats.org/officeDocument/2006/relationships/image" Target="../media/Chart25.png"/><Relationship Id="rId14" Type="http://schemas.openxmlformats.org/officeDocument/2006/relationships/image" Target="../media/Chart24.png"/><Relationship Id="rId17" Type="http://schemas.openxmlformats.org/officeDocument/2006/relationships/image" Target="../media/Chart27.png"/><Relationship Id="rId16" Type="http://schemas.openxmlformats.org/officeDocument/2006/relationships/image" Target="../media/Chart26.png"/><Relationship Id="rId5" Type="http://schemas.openxmlformats.org/officeDocument/2006/relationships/image" Target="../media/Chart15.png"/><Relationship Id="rId19" Type="http://schemas.openxmlformats.org/officeDocument/2006/relationships/image" Target="../media/Chart29.png"/><Relationship Id="rId6" Type="http://schemas.openxmlformats.org/officeDocument/2006/relationships/image" Target="../media/Chart16.png"/><Relationship Id="rId18" Type="http://schemas.openxmlformats.org/officeDocument/2006/relationships/image" Target="../media/Chart28.png"/><Relationship Id="rId7" Type="http://schemas.openxmlformats.org/officeDocument/2006/relationships/image" Target="../media/Chart17.png"/><Relationship Id="rId8" Type="http://schemas.openxmlformats.org/officeDocument/2006/relationships/image" Target="../media/Chart1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7115175" cy="57721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28</xdr:row>
      <xdr:rowOff>190500</xdr:rowOff>
    </xdr:from>
    <xdr:ext cx="8067675" cy="49149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53</xdr:row>
      <xdr:rowOff>152400</xdr:rowOff>
    </xdr:from>
    <xdr:ext cx="8067675" cy="49815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78</xdr:row>
      <xdr:rowOff>190500</xdr:rowOff>
    </xdr:from>
    <xdr:ext cx="8067675" cy="55245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7</xdr:col>
      <xdr:colOff>933450</xdr:colOff>
      <xdr:row>0</xdr:row>
      <xdr:rowOff>0</xdr:rowOff>
    </xdr:from>
    <xdr:ext cx="702945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7</xdr:col>
      <xdr:colOff>400050</xdr:colOff>
      <xdr:row>17</xdr:row>
      <xdr:rowOff>152400</xdr:rowOff>
    </xdr:from>
    <xdr:ext cx="7029450" cy="43338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8</xdr:col>
      <xdr:colOff>752475</xdr:colOff>
      <xdr:row>39</xdr:row>
      <xdr:rowOff>123825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</xdr:col>
      <xdr:colOff>171450</xdr:colOff>
      <xdr:row>57</xdr:row>
      <xdr:rowOff>152400</xdr:rowOff>
    </xdr:from>
    <xdr:ext cx="6296025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14</xdr:col>
      <xdr:colOff>781050</xdr:colOff>
      <xdr:row>17</xdr:row>
      <xdr:rowOff>152400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14</xdr:col>
      <xdr:colOff>781050</xdr:colOff>
      <xdr:row>0</xdr:row>
      <xdr:rowOff>0</xdr:rowOff>
    </xdr:from>
    <xdr:ext cx="5715000" cy="35337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6</xdr:row>
      <xdr:rowOff>0</xdr:rowOff>
    </xdr:from>
    <xdr:ext cx="6562725" cy="3533775"/>
    <xdr:pic>
      <xdr:nvPicPr>
        <xdr:cNvPr id="1537830568" name="Chart11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</xdr:colOff>
      <xdr:row>24</xdr:row>
      <xdr:rowOff>152400</xdr:rowOff>
    </xdr:from>
    <xdr:ext cx="6562725" cy="3533775"/>
    <xdr:pic>
      <xdr:nvPicPr>
        <xdr:cNvPr id="285158443" name="Chart12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</xdr:colOff>
      <xdr:row>6</xdr:row>
      <xdr:rowOff>0</xdr:rowOff>
    </xdr:from>
    <xdr:ext cx="6886575" cy="6619875"/>
    <xdr:pic>
      <xdr:nvPicPr>
        <xdr:cNvPr id="1487149089" name="Chart13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600075</xdr:colOff>
      <xdr:row>42</xdr:row>
      <xdr:rowOff>114300</xdr:rowOff>
    </xdr:from>
    <xdr:ext cx="7848600" cy="6362700"/>
    <xdr:pic>
      <xdr:nvPicPr>
        <xdr:cNvPr id="2024595106" name="Chart14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9525</xdr:colOff>
      <xdr:row>7</xdr:row>
      <xdr:rowOff>0</xdr:rowOff>
    </xdr:from>
    <xdr:ext cx="7143750" cy="3162300"/>
    <xdr:pic>
      <xdr:nvPicPr>
        <xdr:cNvPr id="1650891627" name="Chart15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23</xdr:row>
      <xdr:rowOff>85725</xdr:rowOff>
    </xdr:from>
    <xdr:ext cx="7191375" cy="2905125"/>
    <xdr:pic>
      <xdr:nvPicPr>
        <xdr:cNvPr id="1872764344" name="Chart16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209550</xdr:colOff>
      <xdr:row>42</xdr:row>
      <xdr:rowOff>161925</xdr:rowOff>
    </xdr:from>
    <xdr:ext cx="7143750" cy="3600450"/>
    <xdr:pic>
      <xdr:nvPicPr>
        <xdr:cNvPr id="62764880" name="Chart17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209550</xdr:colOff>
      <xdr:row>61</xdr:row>
      <xdr:rowOff>28575</xdr:rowOff>
    </xdr:from>
    <xdr:ext cx="7143750" cy="3409950"/>
    <xdr:pic>
      <xdr:nvPicPr>
        <xdr:cNvPr id="922565634" name="Chart18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39</xdr:row>
      <xdr:rowOff>190500</xdr:rowOff>
    </xdr:from>
    <xdr:ext cx="6886575" cy="2524125"/>
    <xdr:pic>
      <xdr:nvPicPr>
        <xdr:cNvPr id="1467029374" name="Chart19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53</xdr:row>
      <xdr:rowOff>76200</xdr:rowOff>
    </xdr:from>
    <xdr:ext cx="6886575" cy="2819400"/>
    <xdr:pic>
      <xdr:nvPicPr>
        <xdr:cNvPr id="1363805906" name="Chart20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</xdr:colOff>
      <xdr:row>85</xdr:row>
      <xdr:rowOff>0</xdr:rowOff>
    </xdr:from>
    <xdr:ext cx="6886575" cy="6619875"/>
    <xdr:pic>
      <xdr:nvPicPr>
        <xdr:cNvPr id="402864080" name="Chart21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</xdr:colOff>
      <xdr:row>85</xdr:row>
      <xdr:rowOff>0</xdr:rowOff>
    </xdr:from>
    <xdr:ext cx="6562725" cy="3533775"/>
    <xdr:pic>
      <xdr:nvPicPr>
        <xdr:cNvPr id="814793572" name="Chart22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</xdr:colOff>
      <xdr:row>103</xdr:row>
      <xdr:rowOff>152400</xdr:rowOff>
    </xdr:from>
    <xdr:ext cx="6562725" cy="3533775"/>
    <xdr:pic>
      <xdr:nvPicPr>
        <xdr:cNvPr id="1993514318" name="Chart23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9525</xdr:colOff>
      <xdr:row>86</xdr:row>
      <xdr:rowOff>0</xdr:rowOff>
    </xdr:from>
    <xdr:ext cx="7143750" cy="3162300"/>
    <xdr:pic>
      <xdr:nvPicPr>
        <xdr:cNvPr id="609349415" name="Chart24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102</xdr:row>
      <xdr:rowOff>85725</xdr:rowOff>
    </xdr:from>
    <xdr:ext cx="7191375" cy="2905125"/>
    <xdr:pic>
      <xdr:nvPicPr>
        <xdr:cNvPr id="2060811903" name="Chart25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118</xdr:row>
      <xdr:rowOff>190500</xdr:rowOff>
    </xdr:from>
    <xdr:ext cx="6886575" cy="2524125"/>
    <xdr:pic>
      <xdr:nvPicPr>
        <xdr:cNvPr id="1822047981" name="Chart26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171450</xdr:colOff>
      <xdr:row>121</xdr:row>
      <xdr:rowOff>161925</xdr:rowOff>
    </xdr:from>
    <xdr:ext cx="7143750" cy="3600450"/>
    <xdr:pic>
      <xdr:nvPicPr>
        <xdr:cNvPr id="1869758960" name="Chart27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600075</xdr:colOff>
      <xdr:row>121</xdr:row>
      <xdr:rowOff>114300</xdr:rowOff>
    </xdr:from>
    <xdr:ext cx="7848600" cy="6362700"/>
    <xdr:pic>
      <xdr:nvPicPr>
        <xdr:cNvPr id="155909595" name="Chart28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209550</xdr:colOff>
      <xdr:row>140</xdr:row>
      <xdr:rowOff>28575</xdr:rowOff>
    </xdr:from>
    <xdr:ext cx="7143750" cy="3409950"/>
    <xdr:pic>
      <xdr:nvPicPr>
        <xdr:cNvPr id="1698824402" name="Chart29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85725</xdr:colOff>
      <xdr:row>133</xdr:row>
      <xdr:rowOff>123825</xdr:rowOff>
    </xdr:from>
    <xdr:ext cx="6886575" cy="2819400"/>
    <xdr:pic>
      <xdr:nvPicPr>
        <xdr:cNvPr id="852303747" name="Chart30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people.com/" TargetMode="External"/><Relationship Id="rId2" Type="http://schemas.openxmlformats.org/officeDocument/2006/relationships/hyperlink" Target="http://pbs.org/" TargetMode="External"/><Relationship Id="rId3" Type="http://schemas.openxmlformats.org/officeDocument/2006/relationships/hyperlink" Target="http://congress.gov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fgate.com/bayarea/article/tsa-passenger-data-ice-sfo-22095809.php?utm_source=chatgpt.com" TargetMode="External"/><Relationship Id="rId190" Type="http://schemas.openxmlformats.org/officeDocument/2006/relationships/hyperlink" Target="https://www.aljazeera.com/news/2026/1/12/what-we-know-about-the-protests-sweeping-iran?utm_source=chatgpt.com" TargetMode="External"/><Relationship Id="rId42" Type="http://schemas.openxmlformats.org/officeDocument/2006/relationships/hyperlink" Target="https://www.amnesty.org/en/latest/campaigns/2026/01/what-happened-at-the-protests-in-iran/?utm_source=chatgpt.com" TargetMode="External"/><Relationship Id="rId41" Type="http://schemas.openxmlformats.org/officeDocument/2006/relationships/hyperlink" Target="https://www.britannica.com/event/2026-Iranian-Protests?utm_source=chatgpt.com" TargetMode="External"/><Relationship Id="rId44" Type="http://schemas.openxmlformats.org/officeDocument/2006/relationships/hyperlink" Target="https://en.wikipedia.org/wiki/2025_Iranian_protests?utm_source=chatgpt.com" TargetMode="External"/><Relationship Id="rId194" Type="http://schemas.openxmlformats.org/officeDocument/2006/relationships/hyperlink" Target="https://www.realinstitutoelcano.org/en/analyses/irans-2025-26-protests-resilience-and-political-containment/" TargetMode="External"/><Relationship Id="rId43" Type="http://schemas.openxmlformats.org/officeDocument/2006/relationships/hyperlink" Target="https://en.wikipedia.org/wiki/2025%E2%80%932026_Iranian_protests?utm_source=chatgpt.com" TargetMode="External"/><Relationship Id="rId193" Type="http://schemas.openxmlformats.org/officeDocument/2006/relationships/hyperlink" Target="https://www.stimson.org/2026/why-the-latest-iran-protests-started-in-the-tehran-bazaar/" TargetMode="External"/><Relationship Id="rId46" Type="http://schemas.openxmlformats.org/officeDocument/2006/relationships/hyperlink" Target="https://www.amnesty.org/en/latest/campaigns/2026/01/what-happened-at-the-protests-in-iran/?utm_source=chatgpt.com" TargetMode="External"/><Relationship Id="rId192" Type="http://schemas.openxmlformats.org/officeDocument/2006/relationships/hyperlink" Target="https://www.amnesty.org/en/latest/campaigns/2026/01/what-happened-at-the-protests-in-iran/" TargetMode="External"/><Relationship Id="rId45" Type="http://schemas.openxmlformats.org/officeDocument/2006/relationships/hyperlink" Target="https://www.aljazeera.com/news/2026/1/12/what-we-know-about-the-protests-sweeping-iran?utm_source=chatgpt.com" TargetMode="External"/><Relationship Id="rId191" Type="http://schemas.openxmlformats.org/officeDocument/2006/relationships/hyperlink" Target="https://thesoufancenter.org/intelbrief-2026-january-7/" TargetMode="External"/><Relationship Id="rId48" Type="http://schemas.openxmlformats.org/officeDocument/2006/relationships/hyperlink" Target="https://en.wikipedia.org/wiki/2025%E2%80%932026_Iranian_protests?utm_source=chatgpt.com" TargetMode="External"/><Relationship Id="rId187" Type="http://schemas.openxmlformats.org/officeDocument/2006/relationships/hyperlink" Target="https://www.naacpldf.org/case-issue/challenging-state-violence-authoritarianism/" TargetMode="External"/><Relationship Id="rId47" Type="http://schemas.openxmlformats.org/officeDocument/2006/relationships/hyperlink" Target="https://www.aljazeera.com/news/2026/1/12/what-we-know-about-the-protests-sweeping-iran?utm_source=chatgpt.com" TargetMode="External"/><Relationship Id="rId186" Type="http://schemas.openxmlformats.org/officeDocument/2006/relationships/hyperlink" Target="https://www.theguardian.com/us-news/2026/jan/17/minneapolis-twin-cities-ice-dispatch" TargetMode="External"/><Relationship Id="rId185" Type="http://schemas.openxmlformats.org/officeDocument/2006/relationships/hyperlink" Target="https://www.themarshallproject.org/2026/02/04/ice-immigration-intimidation-tactics-protesters" TargetMode="External"/><Relationship Id="rId49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184" Type="http://schemas.openxmlformats.org/officeDocument/2006/relationships/hyperlink" Target="https://en.wikipedia.org/wiki/January_30,_2026_protests_against_ICE" TargetMode="External"/><Relationship Id="rId189" Type="http://schemas.openxmlformats.org/officeDocument/2006/relationships/hyperlink" Target="https://nssa.byu.edu/irans-2025-2026-uprisings-and-the-legitimacy-crisis-of-the-islamic-republic" TargetMode="External"/><Relationship Id="rId188" Type="http://schemas.openxmlformats.org/officeDocument/2006/relationships/hyperlink" Target="https://en.wikipedia.org/wiki/2025%E2%80%932026_Iranian_protests" TargetMode="External"/><Relationship Id="rId31" Type="http://schemas.openxmlformats.org/officeDocument/2006/relationships/hyperlink" Target="https://www.theguardian.com/us-news/2026/jan/31/anti-ice-protests-weekend?utm_source=chatgpt.com" TargetMode="External"/><Relationship Id="rId30" Type="http://schemas.openxmlformats.org/officeDocument/2006/relationships/hyperlink" Target="https://en.wikipedia.org/wiki/January_30%2C_2026_protests_against_ICE?utm_source=chatgpt.com" TargetMode="External"/><Relationship Id="rId33" Type="http://schemas.openxmlformats.org/officeDocument/2006/relationships/hyperlink" Target="https://www.washingtonpost.com/ripple/2026/02/02/minneapolis-ice-watch-protests-defend-612/?utm_source=chatgpt.com" TargetMode="External"/><Relationship Id="rId183" Type="http://schemas.openxmlformats.org/officeDocument/2006/relationships/hyperlink" Target="https://www.lwv.org/blog/whats-happening-ice-and-how-fight-back" TargetMode="External"/><Relationship Id="rId32" Type="http://schemas.openxmlformats.org/officeDocument/2006/relationships/hyperlink" Target="https://www.theguardian.com/us-news/2026/jan/29/ice-out-strike-protests-explained?utm_source=chatgpt.com" TargetMode="External"/><Relationship Id="rId182" Type="http://schemas.openxmlformats.org/officeDocument/2006/relationships/hyperlink" Target="https://www.realinstitutoelcano.org/en/commentaries/ice-is-not-welcome-urban-raids-capacity-and-the-politics-of-us-immigration-enforcement/" TargetMode="External"/><Relationship Id="rId35" Type="http://schemas.openxmlformats.org/officeDocument/2006/relationships/hyperlink" Target="https://www.foxnews.com/us/anti-ice-mob-storms-minnesota-church-over-pastors-alleged-ties-immigration-enforcement?utm_source=chatgpt.com" TargetMode="External"/><Relationship Id="rId181" Type="http://schemas.openxmlformats.org/officeDocument/2006/relationships/hyperlink" Target="https://www.realinstitutoelcano.org/en/commentaries/ice-is-not-welcome-urban-raids-capacity-and-the-politics-of-us-immigration-enforcement/" TargetMode="External"/><Relationship Id="rId34" Type="http://schemas.openxmlformats.org/officeDocument/2006/relationships/hyperlink" Target="https://en.wikipedia.org/wiki/2026_Anti-ICE_Protests_in_the_United_States?utm_source=chatgpt.com" TargetMode="External"/><Relationship Id="rId180" Type="http://schemas.openxmlformats.org/officeDocument/2006/relationships/hyperlink" Target="https://www.npr.org/2026/01/31/nx-s1-5695221/anti-ice-protesters-call-for-national-action-against-federal-immigration-tactics" TargetMode="External"/><Relationship Id="rId37" Type="http://schemas.openxmlformats.org/officeDocument/2006/relationships/hyperlink" Target="https://en.wikipedia.org/wiki/2026_Anti-ICE_Protests_in_the_United_States?utm_source=chatgpt.com" TargetMode="External"/><Relationship Id="rId176" Type="http://schemas.openxmlformats.org/officeDocument/2006/relationships/hyperlink" Target="https://en.wikipedia.org/wiki/Operation_Metro_Surge" TargetMode="External"/><Relationship Id="rId297" Type="http://schemas.openxmlformats.org/officeDocument/2006/relationships/hyperlink" Target="https://www.dailymail.co.uk/news/article-15519647/More-100-police-injured-left-wing-supporters-riots-Turin-closure-cultural-centre.html" TargetMode="External"/><Relationship Id="rId36" Type="http://schemas.openxmlformats.org/officeDocument/2006/relationships/hyperlink" Target="https://www.theguardian.com/us-news/2026/jan/29/ice-out-strike-protests-explained?utm_source=chatgpt.com" TargetMode="External"/><Relationship Id="rId175" Type="http://schemas.openxmlformats.org/officeDocument/2006/relationships/hyperlink" Target="https://en.wikipedia.org/wiki/January_23,_2026_Minnesota_protests_against_ICE" TargetMode="External"/><Relationship Id="rId296" Type="http://schemas.openxmlformats.org/officeDocument/2006/relationships/hyperlink" Target="https://peoplesdispatch.org/2026/02/02/partisan-turin-rises-against-militarization-and-repression/" TargetMode="External"/><Relationship Id="rId39" Type="http://schemas.openxmlformats.org/officeDocument/2006/relationships/hyperlink" Target="https://www.theguardian.com/us-news/2026/mar/20/los-angeles-ice-protest-eye-lapd?utm_source=chatgpt.com" TargetMode="External"/><Relationship Id="rId174" Type="http://schemas.openxmlformats.org/officeDocument/2006/relationships/hyperlink" Target="https://en.wikipedia.org/wiki/January_30,_2026_protests_against_ICE" TargetMode="External"/><Relationship Id="rId295" Type="http://schemas.openxmlformats.org/officeDocument/2006/relationships/hyperlink" Target="https://www.aa.com.tr/en/europe/italian-government-to-meet-after-clashes-in-turin-injure-over-100-officers/3816965" TargetMode="External"/><Relationship Id="rId38" Type="http://schemas.openxmlformats.org/officeDocument/2006/relationships/hyperlink" Target="https://www.minneapolismn.gov/news/2026/january/ag-lawsuit/?utm_source=chatgpt.com" TargetMode="External"/><Relationship Id="rId173" Type="http://schemas.openxmlformats.org/officeDocument/2006/relationships/hyperlink" Target="https://www.politico.com/news/2026/01/10/anti-ice-protesters-assemble-across-the-us-after-shootings-in-minneapolis-and-portland-oregon-00721209" TargetMode="External"/><Relationship Id="rId294" Type="http://schemas.openxmlformats.org/officeDocument/2006/relationships/hyperlink" Target="https://www.unionesarda.it/en/italy/guerrilla-fighting-over-askatasuna-in-turin-leaves-31-officers-injured-after-one-officer-was-kicked-in-the-head-and-hammered-f5gi6uld" TargetMode="External"/><Relationship Id="rId179" Type="http://schemas.openxmlformats.org/officeDocument/2006/relationships/hyperlink" Target="https://www.nytimes.com/2026/01/14/us/ice-protests-activism.html" TargetMode="External"/><Relationship Id="rId178" Type="http://schemas.openxmlformats.org/officeDocument/2006/relationships/hyperlink" Target="https://www.theguardian.com/us-news/2026/jan/31/anti-ice-protests-weekend" TargetMode="External"/><Relationship Id="rId299" Type="http://schemas.openxmlformats.org/officeDocument/2006/relationships/drawing" Target="../drawings/drawing3.xml"/><Relationship Id="rId177" Type="http://schemas.openxmlformats.org/officeDocument/2006/relationships/hyperlink" Target="https://www.theguardian.com/us-news/2026/jan/29/ice-out-strike-protests-explained" TargetMode="External"/><Relationship Id="rId298" Type="http://schemas.openxmlformats.org/officeDocument/2006/relationships/hyperlink" Target="https://freedomnews.org.uk/2026/02/01/turin-50000-protest-askatasuna-eviction/" TargetMode="External"/><Relationship Id="rId20" Type="http://schemas.openxmlformats.org/officeDocument/2006/relationships/hyperlink" Target="https://en.wikipedia.org/wiki/2026_Anti-ICE_Protests_in_the_United_States?utm_source=chatgpt.com" TargetMode="External"/><Relationship Id="rId22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21" Type="http://schemas.openxmlformats.org/officeDocument/2006/relationships/hyperlink" Target="https://en.wikipedia.org/wiki/January_30%2C_2026_protests_against_ICE?utm_source=chatgpt.com" TargetMode="External"/><Relationship Id="rId24" Type="http://schemas.openxmlformats.org/officeDocument/2006/relationships/hyperlink" Target="https://www.democracynow.org/2026/2/2/headlines/more_than_300_anti_ice_protests_held_across_the_country?utm_source=chatgpt.com" TargetMode="External"/><Relationship Id="rId23" Type="http://schemas.openxmlformats.org/officeDocument/2006/relationships/hyperlink" Target="https://www.theguardian.com/us-news/2026/jan/31/anti-ice-protests-weekend?utm_source=chatgpt.com" TargetMode="External"/><Relationship Id="rId26" Type="http://schemas.openxmlformats.org/officeDocument/2006/relationships/hyperlink" Target="https://en.wikipedia.org/wiki/January_30%2C_2026_protests_against_ICE?utm_source=chatgpt.com" TargetMode="External"/><Relationship Id="rId25" Type="http://schemas.openxmlformats.org/officeDocument/2006/relationships/hyperlink" Target="https://en.wikipedia.org/wiki/2026_Anti-ICE_Protests_in_the_United_States?utm_source=chatgpt.com" TargetMode="External"/><Relationship Id="rId28" Type="http://schemas.openxmlformats.org/officeDocument/2006/relationships/hyperlink" Target="https://abcnews.com/US/anti-ice-protests-place-nationwide-fatal-shootings-minneapolis/story?id=129670048&amp;utm_source=chatgpt.com" TargetMode="External"/><Relationship Id="rId27" Type="http://schemas.openxmlformats.org/officeDocument/2006/relationships/hyperlink" Target="https://en.wikipedia.org/wiki/ICE_Out?utm_source=chatgpt.com" TargetMode="External"/><Relationship Id="rId29" Type="http://schemas.openxmlformats.org/officeDocument/2006/relationships/hyperlink" Target="https://www.theguardian.com/us-news/2026/jan/31/anti-ice-protests-weekend?utm_source=chatgpt.com" TargetMode="External"/><Relationship Id="rId11" Type="http://schemas.openxmlformats.org/officeDocument/2006/relationships/hyperlink" Target="https://www.wunc.org/term/news/2026-01-10/anti-ice-protesters-durham-after-shootings-minneapolis?utm_source=chatgpt.com" TargetMode="External"/><Relationship Id="rId10" Type="http://schemas.openxmlformats.org/officeDocument/2006/relationships/hyperlink" Target="https://www.theguardian.com/us-news/2026/jan/28/third-no-kings-protest-march-minnesota-ice?utm_source=chatgpt.com" TargetMode="External"/><Relationship Id="rId13" Type="http://schemas.openxmlformats.org/officeDocument/2006/relationships/hyperlink" Target="https://www.youtube.com/watch?v=suSs4jVxrbI&amp;utm_source=chatgpt.com" TargetMode="External"/><Relationship Id="rId12" Type="http://schemas.openxmlformats.org/officeDocument/2006/relationships/hyperlink" Target="https://en.wikipedia.org/wiki/2026_Anti-ICE_Protests_in_the_United_States?utm_source=chatgpt.com" TargetMode="External"/><Relationship Id="rId15" Type="http://schemas.openxmlformats.org/officeDocument/2006/relationships/hyperlink" Target="https://en.wikipedia.org/wiki/January_30%2C_2026_protests_against_ICE?utm_source=chatgpt.com" TargetMode="External"/><Relationship Id="rId198" Type="http://schemas.openxmlformats.org/officeDocument/2006/relationships/hyperlink" Target="https://wpiran.org/english/a-summary-of-the-december-2025-january-2026-uprising-in-iran/" TargetMode="External"/><Relationship Id="rId14" Type="http://schemas.openxmlformats.org/officeDocument/2006/relationships/hyperlink" Target="https://en.wikipedia.org/wiki/2026_Anti-ICE_Protests_in_the_United_States?utm_source=chatgpt.com" TargetMode="External"/><Relationship Id="rId197" Type="http://schemas.openxmlformats.org/officeDocument/2006/relationships/hyperlink" Target="https://www.amnesty.org/en/latest/campaigns/2026/01/what-happened-at-the-protests-in-iran/" TargetMode="External"/><Relationship Id="rId17" Type="http://schemas.openxmlformats.org/officeDocument/2006/relationships/hyperlink" Target="https://www.euronews.com/video/2026/01/31/thousands-march-across-us-cities-during-anti-ice-strike?utm_source=chatgpt.com" TargetMode="External"/><Relationship Id="rId196" Type="http://schemas.openxmlformats.org/officeDocument/2006/relationships/hyperlink" Target="https://nssa.byu.edu/irans-2025-2026-uprisings-and-the-legitimacy-crisis-of-the-islamic-republic" TargetMode="External"/><Relationship Id="rId16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195" Type="http://schemas.openxmlformats.org/officeDocument/2006/relationships/hyperlink" Target="https://en.wikipedia.org/wiki/2025%E2%80%932026_Iranian_protests" TargetMode="External"/><Relationship Id="rId19" Type="http://schemas.openxmlformats.org/officeDocument/2006/relationships/hyperlink" Target="https://www.theguardian.com/us-news/2026/mar/20/los-angeles-ice-protest-eye-lapd?utm_source=chatgpt.com" TargetMode="External"/><Relationship Id="rId18" Type="http://schemas.openxmlformats.org/officeDocument/2006/relationships/hyperlink" Target="https://www.democracynow.org/2026/2/2/headlines/more_than_300_anti_ice_protests_held_across_the_country?utm_source=chatgpt.com" TargetMode="External"/><Relationship Id="rId199" Type="http://schemas.openxmlformats.org/officeDocument/2006/relationships/hyperlink" Target="https://lens.civicus.org/iran-revolt-crushed-but-crisis-unresolved/" TargetMode="External"/><Relationship Id="rId84" Type="http://schemas.openxmlformats.org/officeDocument/2006/relationships/hyperlink" Target="https://www.britannica.com/event/2026-Iranian-Protests?utm_source=chatgpt.com" TargetMode="External"/><Relationship Id="rId83" Type="http://schemas.openxmlformats.org/officeDocument/2006/relationships/hyperlink" Target="https://www.amnesty.org/en/latest/news/2026/01/internet-shutdown-in-iran-hides-violations-in-escalating-protests/?utm_source=chatgpt.com" TargetMode="External"/><Relationship Id="rId86" Type="http://schemas.openxmlformats.org/officeDocument/2006/relationships/hyperlink" Target="https://apnews.com/article/899cffa851d2c87f1feefd561ee9bde3?utm_source=chatgpt.com" TargetMode="External"/><Relationship Id="rId85" Type="http://schemas.openxmlformats.org/officeDocument/2006/relationships/hyperlink" Target="https://www.washingtonpost.com/opinions/2026/03/25/iran-islamic-republic-protests-executions/?utm_source=chatgpt.com" TargetMode="External"/><Relationship Id="rId88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150" Type="http://schemas.openxmlformats.org/officeDocument/2006/relationships/hyperlink" Target="https://en.wikipedia.org/wiki/January_30,_2026_protests_against_ICE" TargetMode="External"/><Relationship Id="rId271" Type="http://schemas.openxmlformats.org/officeDocument/2006/relationships/hyperlink" Target="https://www.vittimeterrorismo.it/manifestazione-del-31-gennaio-2026-di-askatasuna-a-torino/" TargetMode="External"/><Relationship Id="rId87" Type="http://schemas.openxmlformats.org/officeDocument/2006/relationships/hyperlink" Target="https://it.wikipedia.org/wiki/Askatasuna_%28centro_sociale%29?utm_source=chatgpt.com" TargetMode="External"/><Relationship Id="rId270" Type="http://schemas.openxmlformats.org/officeDocument/2006/relationships/hyperlink" Target="https://www.rainews.it/tgr/piemonte/maratona/2026/01/corteo-per-askatasuna-la-diretta-ad64103d-e326-4623-a7e5-f4ecb7804b7f.html" TargetMode="External"/><Relationship Id="rId89" Type="http://schemas.openxmlformats.org/officeDocument/2006/relationships/hyperlink" Target="https://peoplesdispatch.org/2026/02/02/partisan-turin-rises-against-militarization-and-repression/?utm_source=chatgpt.com" TargetMode="External"/><Relationship Id="rId80" Type="http://schemas.openxmlformats.org/officeDocument/2006/relationships/hyperlink" Target="https://www.amnesty.org/en/latest/campaigns/2026/01/what-happened-at-the-protests-in-iran/?utm_source=chatgpt.com" TargetMode="External"/><Relationship Id="rId82" Type="http://schemas.openxmlformats.org/officeDocument/2006/relationships/hyperlink" Target="https://www.amnesty.org/en/latest/news/2026/01/iran-deaths-injuries-authorities-protest-bloodshed/?utm_source=chatgpt.com" TargetMode="External"/><Relationship Id="rId81" Type="http://schemas.openxmlformats.org/officeDocument/2006/relationships/hyperlink" Target="https://www.amnesty.org/en/latest/campaigns/2026/01/what-happened-at-the-protests-in-iran/?utm_source=chatgpt.com" TargetMode="External"/><Relationship Id="rId1" Type="http://schemas.openxmlformats.org/officeDocument/2006/relationships/hyperlink" Target="https://en.wikipedia.org/wiki/2026_Anti-ICE_Protests_in_the_United_States?utm_source=chatgpt.com" TargetMode="External"/><Relationship Id="rId2" Type="http://schemas.openxmlformats.org/officeDocument/2006/relationships/hyperlink" Target="https://en.wikipedia.org/wiki/January_30%2C_2026_protests_against_ICE?utm_source=chatgpt.com" TargetMode="External"/><Relationship Id="rId3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149" Type="http://schemas.openxmlformats.org/officeDocument/2006/relationships/hyperlink" Target="https://www.reutersconnect.com/item/ice-crackdown-2026-washington-dc-anti-ice-protest/dGFnOnJldXRlcnMuY29tLDIwMjY6bmV3c21sX01UMVpVTUEwMDA2VU9XNDk" TargetMode="External"/><Relationship Id="rId4" Type="http://schemas.openxmlformats.org/officeDocument/2006/relationships/hyperlink" Target="https://www.democracynow.org/2026/2/2/headlines/more_than_300_anti_ice_protests_held_across_the_country?utm_source=chatgpt.com" TargetMode="External"/><Relationship Id="rId148" Type="http://schemas.openxmlformats.org/officeDocument/2006/relationships/hyperlink" Target="https://www.cnn.com/us/live-news/minneapolis-ice-shooting-immigration-crackdown-01-10-26" TargetMode="External"/><Relationship Id="rId269" Type="http://schemas.openxmlformats.org/officeDocument/2006/relationships/hyperlink" Target="https://www.rainews.it/maratona/2026/01/askatasuna-in-migliaia-da-tutta-italia-davanti-a-ateneo-occupato-a-torino-3d3cf8f2-7e2a-46b8-895d-53001bc431ed.html" TargetMode="External"/><Relationship Id="rId9" Type="http://schemas.openxmlformats.org/officeDocument/2006/relationships/hyperlink" Target="https://www.democracynow.org/2026/2/2/headlines/more_than_300_anti_ice_protests_held_across_the_country?utm_source=chatgpt.com" TargetMode="External"/><Relationship Id="rId143" Type="http://schemas.openxmlformats.org/officeDocument/2006/relationships/hyperlink" Target="https://en.wikipedia.org/wiki/January_30,_2026_protests_against_ICE" TargetMode="External"/><Relationship Id="rId264" Type="http://schemas.openxmlformats.org/officeDocument/2006/relationships/hyperlink" Target="https://www.dailymail.co.uk/news/article-15519647/More-100-police-injured-left-wing-supporters-riots-Turin-closure-cultural-centre.html" TargetMode="External"/><Relationship Id="rId142" Type="http://schemas.openxmlformats.org/officeDocument/2006/relationships/hyperlink" Target="https://labornotes.org/2026/01/twin-cities-massive-strike-against-ice" TargetMode="External"/><Relationship Id="rId263" Type="http://schemas.openxmlformats.org/officeDocument/2006/relationships/hyperlink" Target="https://en.ilsole24ore.com/art/turin-via-two-processions-the-askatasuna-social-centre-AIgzFzAB" TargetMode="External"/><Relationship Id="rId141" Type="http://schemas.openxmlformats.org/officeDocument/2006/relationships/hyperlink" Target="https://www.nytimes.com/live/2026/01/30/us/minnesota-ice-protests-minneapolis" TargetMode="External"/><Relationship Id="rId262" Type="http://schemas.openxmlformats.org/officeDocument/2006/relationships/hyperlink" Target="https://crimethinc.com/2026/02/07/basic-banalities-concerning-the-january-31-demonstration-in-turin-reflections-on-a-night-of-street-fighting-in-italy" TargetMode="External"/><Relationship Id="rId140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261" Type="http://schemas.openxmlformats.org/officeDocument/2006/relationships/hyperlink" Target="https://www.foxnews.com/world/italy-rocked-anarchist-led-riots-over-100-police-injured-meloni-condemns-violence" TargetMode="External"/><Relationship Id="rId5" Type="http://schemas.openxmlformats.org/officeDocument/2006/relationships/hyperlink" Target="https://www.theguardian.com/us-news/2026/jan/31/anti-ice-protests-weekend?utm_source=chatgpt.com" TargetMode="External"/><Relationship Id="rId147" Type="http://schemas.openxmlformats.org/officeDocument/2006/relationships/hyperlink" Target="https://www.theguardian.com/us-news/2026/jan/31/anti-ice-protests-weekend" TargetMode="External"/><Relationship Id="rId268" Type="http://schemas.openxmlformats.org/officeDocument/2006/relationships/hyperlink" Target="https://www.lastampa.it/torino/2026/01/31/news/corteo_askatasuna_meloni_centri_sociali-15489588/" TargetMode="External"/><Relationship Id="rId6" Type="http://schemas.openxmlformats.org/officeDocument/2006/relationships/hyperlink" Target="https://en.wikipedia.org/wiki/2026_Anti-ICE_Protests_in_the_United_States?utm_source=chatgpt.com" TargetMode="External"/><Relationship Id="rId146" Type="http://schemas.openxmlformats.org/officeDocument/2006/relationships/hyperlink" Target="https://en.wikipedia.org/wiki/Protests_against_mass_deportation_during_the_second_Trump_administration" TargetMode="External"/><Relationship Id="rId267" Type="http://schemas.openxmlformats.org/officeDocument/2006/relationships/hyperlink" Target="https://www.doppiozero.com/askatasuna-voci-da-torino-31-gennaio-2026" TargetMode="External"/><Relationship Id="rId7" Type="http://schemas.openxmlformats.org/officeDocument/2006/relationships/hyperlink" Target="https://en.wikipedia.org/wiki/January_30%2C_2026_protests_against_ICE?utm_source=chatgpt.com" TargetMode="External"/><Relationship Id="rId145" Type="http://schemas.openxmlformats.org/officeDocument/2006/relationships/hyperlink" Target="https://en.wikipedia.org/wiki/January_23,_2026_Minnesota_protests_against_ICE" TargetMode="External"/><Relationship Id="rId266" Type="http://schemas.openxmlformats.org/officeDocument/2006/relationships/hyperlink" Target="https://www.foxnews.com/world/italy-rocked-anarchist-led-riots-over-100-police-injured-meloni-condemns-violence" TargetMode="External"/><Relationship Id="rId8" Type="http://schemas.openxmlformats.org/officeDocument/2006/relationships/hyperlink" Target="https://en.wikipedia.org/wiki/ICE_Out?utm_source=chatgpt.com" TargetMode="External"/><Relationship Id="rId144" Type="http://schemas.openxmlformats.org/officeDocument/2006/relationships/hyperlink" Target="https://en.wikipedia.org/wiki/2026_U.S._immigration_enforcement_protests" TargetMode="External"/><Relationship Id="rId265" Type="http://schemas.openxmlformats.org/officeDocument/2006/relationships/hyperlink" Target="https://freedomnews.org.uk/2026/02/01/turin-50000-protest-askatasuna-eviction/" TargetMode="External"/><Relationship Id="rId73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72" Type="http://schemas.openxmlformats.org/officeDocument/2006/relationships/hyperlink" Target="https://abcnews.go.com/International/iranian-protests-expand-economy-students-demand-freedom-end/story?id=128780906&amp;utm_source=chatgpt.com" TargetMode="External"/><Relationship Id="rId75" Type="http://schemas.openxmlformats.org/officeDocument/2006/relationships/hyperlink" Target="https://efe.com/en/latest-news/2025-12-29/protests-over-economic-deterioration-in-iran-spread-to-several-cities/?utm_source=chatgpt.com" TargetMode="External"/><Relationship Id="rId74" Type="http://schemas.openxmlformats.org/officeDocument/2006/relationships/hyperlink" Target="https://www.washingtonpost.com/opinions/2026/03/25/iran-islamic-republic-protests-executions/?utm_source=chatgpt.com" TargetMode="External"/><Relationship Id="rId77" Type="http://schemas.openxmlformats.org/officeDocument/2006/relationships/hyperlink" Target="https://www.hrw.org/news/2026/01/08/iran-authorities-renewed-cycle-of-protest-bloodshed?utm_source=chatgpt.com" TargetMode="External"/><Relationship Id="rId260" Type="http://schemas.openxmlformats.org/officeDocument/2006/relationships/hyperlink" Target="https://www.aa.com.tr/en/europe/italian-government-to-meet-after-clashes-in-turin-injure-over-100-officers/3816965" TargetMode="External"/><Relationship Id="rId76" Type="http://schemas.openxmlformats.org/officeDocument/2006/relationships/hyperlink" Target="https://www.aljazeera.com/news/2026/1/12/what-we-know-about-the-protests-sweeping-iran?utm_source=chatgpt.com" TargetMode="External"/><Relationship Id="rId79" Type="http://schemas.openxmlformats.org/officeDocument/2006/relationships/hyperlink" Target="https://www.criticalthreats.org/analysis/iran-updates-december-2025?utm_source=chatgpt.com" TargetMode="External"/><Relationship Id="rId78" Type="http://schemas.openxmlformats.org/officeDocument/2006/relationships/hyperlink" Target="https://www.euronews.com/2026/01/01/iran-faces-widest-unrest-since-2022-what-we-know-so-far?utm_source=chatgpt.com" TargetMode="External"/><Relationship Id="rId71" Type="http://schemas.openxmlformats.org/officeDocument/2006/relationships/hyperlink" Target="https://www.hrw.org/news/2026/01/08/iran-authorities-renewed-cycle-of-protest-bloodshed?utm_source=chatgpt.com" TargetMode="External"/><Relationship Id="rId70" Type="http://schemas.openxmlformats.org/officeDocument/2006/relationships/hyperlink" Target="https://www.amnesty.org/en/latest/campaigns/2026/01/what-happened-at-the-protests-in-iran/?utm_source=chatgpt.com" TargetMode="External"/><Relationship Id="rId139" Type="http://schemas.openxmlformats.org/officeDocument/2006/relationships/hyperlink" Target="https://en.wikipedia.org/wiki/2026_U.S._immigration_enforcement_protests" TargetMode="External"/><Relationship Id="rId138" Type="http://schemas.openxmlformats.org/officeDocument/2006/relationships/hyperlink" Target="https://en.wikipedia.org/wiki/January_23,_2026_Minnesota_protests_against_ICE" TargetMode="External"/><Relationship Id="rId259" Type="http://schemas.openxmlformats.org/officeDocument/2006/relationships/hyperlink" Target="https://peoplesdispatch.org/2026/02/02/partisan-turin-rises-against-militarization-and-repression/" TargetMode="External"/><Relationship Id="rId137" Type="http://schemas.openxmlformats.org/officeDocument/2006/relationships/hyperlink" Target="https://www.cnn.com/us/live-news/minneapolis-ice-shooting-immigration-crackdown-01-10-26" TargetMode="External"/><Relationship Id="rId258" Type="http://schemas.openxmlformats.org/officeDocument/2006/relationships/hyperlink" Target="https://www.reutersconnect.com/item/protest-in-support-of-askatasuna-social-centre-in-turin-italy/dGFnOnJldXRlcnMuY29tLDIwMjY6bmV3c21sX1JDMkhDSkEzNDVUSw" TargetMode="External"/><Relationship Id="rId132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253" Type="http://schemas.openxmlformats.org/officeDocument/2006/relationships/hyperlink" Target="https://www.foxnews.com/world/italy-rocked-anarchist-led-riots-over-100-police-injured-meloni-condemns-violence" TargetMode="External"/><Relationship Id="rId131" Type="http://schemas.openxmlformats.org/officeDocument/2006/relationships/hyperlink" Target="https://abcnews.com/US/anti-ice-protests-place-nationwide-fatal-shootings-minneapolis/story?id=129670048" TargetMode="External"/><Relationship Id="rId252" Type="http://schemas.openxmlformats.org/officeDocument/2006/relationships/hyperlink" Target="https://www.dailymail.co.uk/news/article-15519647/More-100-police-injured-left-wing-supporters-riots-Turin-closure-cultural-centre.html" TargetMode="External"/><Relationship Id="rId130" Type="http://schemas.openxmlformats.org/officeDocument/2006/relationships/hyperlink" Target="https://www.theguardian.com/us-news/2026/jan/31/anti-ice-protests-weekend" TargetMode="External"/><Relationship Id="rId251" Type="http://schemas.openxmlformats.org/officeDocument/2006/relationships/hyperlink" Target="https://brusselssignal.eu/2026/02/far-left-riots-shake-italy/" TargetMode="External"/><Relationship Id="rId250" Type="http://schemas.openxmlformats.org/officeDocument/2006/relationships/hyperlink" Target="https://freedomnews.org.uk/2026/02/01/turin-50000-protest-askatasuna-eviction/" TargetMode="External"/><Relationship Id="rId136" Type="http://schemas.openxmlformats.org/officeDocument/2006/relationships/hyperlink" Target="https://www.theguardian.com/us-news/2026/jan/31/anti-ice-protests-weekend" TargetMode="External"/><Relationship Id="rId257" Type="http://schemas.openxmlformats.org/officeDocument/2006/relationships/hyperlink" Target="https://freedomnews.org.uk/2026/02/01/turin-50000-protest-askatasuna-eviction/" TargetMode="External"/><Relationship Id="rId135" Type="http://schemas.openxmlformats.org/officeDocument/2006/relationships/hyperlink" Target="https://en.wikipedia.org/wiki/January_23,_2026_Minnesota_protests_against_ICE" TargetMode="External"/><Relationship Id="rId256" Type="http://schemas.openxmlformats.org/officeDocument/2006/relationships/hyperlink" Target="https://en.ilsole24ore.com/art/turin-via-two-processions-the-askatasuna-social-centre-AIgzFzAB" TargetMode="External"/><Relationship Id="rId134" Type="http://schemas.openxmlformats.org/officeDocument/2006/relationships/hyperlink" Target="https://en.wikipedia.org/wiki/January_30,_2026_protests_against_ICE" TargetMode="External"/><Relationship Id="rId255" Type="http://schemas.openxmlformats.org/officeDocument/2006/relationships/hyperlink" Target="https://www.reuters.com/world/italian-police-get-new-arrest-powers-after-turin-riot-2026-02-05/" TargetMode="External"/><Relationship Id="rId133" Type="http://schemas.openxmlformats.org/officeDocument/2006/relationships/hyperlink" Target="https://www.cnn.com/2026/01/31/us/minnesota-protest-national-boycott" TargetMode="External"/><Relationship Id="rId254" Type="http://schemas.openxmlformats.org/officeDocument/2006/relationships/hyperlink" Target="https://www.euronews.com/2026/02/02/italy-fast-tracks-security-decree-after-violent-clashes-in-turin-injure-100-officers" TargetMode="External"/><Relationship Id="rId62" Type="http://schemas.openxmlformats.org/officeDocument/2006/relationships/hyperlink" Target="https://en.wikipedia.org/wiki/2025_Iranian_protests?utm_source=chatgpt.com" TargetMode="External"/><Relationship Id="rId61" Type="http://schemas.openxmlformats.org/officeDocument/2006/relationships/hyperlink" Target="https://www.theguardian.com/world/2026/mar/25/iranians-try-to-maintain-semblance-of-normal-life-as-conflict-drags-on?utm_source=chatgpt.com" TargetMode="External"/><Relationship Id="rId64" Type="http://schemas.openxmlformats.org/officeDocument/2006/relationships/hyperlink" Target="https://www.britannica.com/event/2026-Iranian-Protests?utm_source=chatgpt.com" TargetMode="External"/><Relationship Id="rId63" Type="http://schemas.openxmlformats.org/officeDocument/2006/relationships/hyperlink" Target="https://www.realinstitutoelcano.org/en/analyses/irans-2025-26-protests-resilience-and-political-containment/?utm_source=chatgpt.com" TargetMode="External"/><Relationship Id="rId66" Type="http://schemas.openxmlformats.org/officeDocument/2006/relationships/hyperlink" Target="https://www.hrw.org/news/2026/01/08/iran-authorities-renewed-cycle-of-protest-bloodshed?utm_source=chatgpt.com" TargetMode="External"/><Relationship Id="rId172" Type="http://schemas.openxmlformats.org/officeDocument/2006/relationships/hyperlink" Target="https://www.reuters.com/pictures/scenes-nationwide-anti-ice-protests-2026-01-30/" TargetMode="External"/><Relationship Id="rId293" Type="http://schemas.openxmlformats.org/officeDocument/2006/relationships/hyperlink" Target="https://www.unionesarda.it/en/italy/askatasuna-march-in-turin-molotov-cocktails-fired-at-police-who-responded-with-tear-gas-y4zondc1" TargetMode="External"/><Relationship Id="rId65" Type="http://schemas.openxmlformats.org/officeDocument/2006/relationships/hyperlink" Target="https://www.amnesty.org/en/latest/campaigns/2026/01/what-happened-at-the-protests-in-iran/?utm_source=chatgpt.com" TargetMode="External"/><Relationship Id="rId171" Type="http://schemas.openxmlformats.org/officeDocument/2006/relationships/hyperlink" Target="https://en.wikipedia.org/wiki/January_30,_2026_protests_against_ICE" TargetMode="External"/><Relationship Id="rId292" Type="http://schemas.openxmlformats.org/officeDocument/2006/relationships/hyperlink" Target="https://en.ilsole24ore.com/art/turin-via-two-processions-the-askatasuna-social-centre-AIgzFzAB" TargetMode="External"/><Relationship Id="rId68" Type="http://schemas.openxmlformats.org/officeDocument/2006/relationships/hyperlink" Target="https://en.wikipedia.org/wiki/Kaveh_%28organization%29?utm_source=chatgpt.com" TargetMode="External"/><Relationship Id="rId170" Type="http://schemas.openxmlformats.org/officeDocument/2006/relationships/hyperlink" Target="https://www.cnn.com/us/live-news/minnesota-ice-minneapolis-protests-01-30-26" TargetMode="External"/><Relationship Id="rId291" Type="http://schemas.openxmlformats.org/officeDocument/2006/relationships/hyperlink" Target="https://www.foxnews.com/world/italy-rocked-anarchist-led-riots-over-100-police-injured-meloni-condemns-violence" TargetMode="External"/><Relationship Id="rId67" Type="http://schemas.openxmlformats.org/officeDocument/2006/relationships/hyperlink" Target="https://www.newyorker.com/news/the-lede/the-distant-promise-of-irans-would-be-king?utm_source=chatgpt.com" TargetMode="External"/><Relationship Id="rId290" Type="http://schemas.openxmlformats.org/officeDocument/2006/relationships/hyperlink" Target="https://www.euronews.com/2026/02/02/italy-fast-tracks-security-decree-after-violent-clashes-in-turin-injure-100-officers" TargetMode="External"/><Relationship Id="rId60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165" Type="http://schemas.openxmlformats.org/officeDocument/2006/relationships/hyperlink" Target="https://acleddata.com/update/united-states-and-canada-overview-march-2026" TargetMode="External"/><Relationship Id="rId286" Type="http://schemas.openxmlformats.org/officeDocument/2006/relationships/hyperlink" Target="https://freedomnews.org.uk/2026/02/01/turin-50000-protest-askatasuna-eviction/" TargetMode="External"/><Relationship Id="rId69" Type="http://schemas.openxmlformats.org/officeDocument/2006/relationships/hyperlink" Target="https://en.wikipedia.org/wiki/2025%E2%80%932026_Iranian_protests?utm_source=chatgpt.com" TargetMode="External"/><Relationship Id="rId164" Type="http://schemas.openxmlformats.org/officeDocument/2006/relationships/hyperlink" Target="https://www.theguardian.com/us-news/2026/jan/31/anti-ice-protests-weekend" TargetMode="External"/><Relationship Id="rId285" Type="http://schemas.openxmlformats.org/officeDocument/2006/relationships/hyperlink" Target="https://en.ilsole24ore.com/art/turin-via-two-processions-the-askatasuna-social-centre-AIgzFzAB" TargetMode="External"/><Relationship Id="rId163" Type="http://schemas.openxmlformats.org/officeDocument/2006/relationships/hyperlink" Target="https://en.wikipedia.org/wiki/Protests_against_mass_deportation_during_the_second_Trump_administration" TargetMode="External"/><Relationship Id="rId284" Type="http://schemas.openxmlformats.org/officeDocument/2006/relationships/hyperlink" Target="https://www.dailymail.co.uk/news/article-15519647/More-100-police-injured-left-wing-supporters-riots-Turin-closure-cultural-centre.html" TargetMode="External"/><Relationship Id="rId162" Type="http://schemas.openxmlformats.org/officeDocument/2006/relationships/hyperlink" Target="https://en.wikipedia.org/wiki/2026_U.S._immigration_enforcement_protests" TargetMode="External"/><Relationship Id="rId283" Type="http://schemas.openxmlformats.org/officeDocument/2006/relationships/hyperlink" Target="https://www.foxnews.com/world/italy-rocked-anarchist-led-riots-over-100-police-injured-meloni-condemns-violence" TargetMode="External"/><Relationship Id="rId169" Type="http://schemas.openxmlformats.org/officeDocument/2006/relationships/hyperlink" Target="https://www.theguardian.com/us-news/2026/jan/31/anti-ice-protests-weekend" TargetMode="External"/><Relationship Id="rId168" Type="http://schemas.openxmlformats.org/officeDocument/2006/relationships/hyperlink" Target="https://www.theguardian.com/us-news/2026/jan/30/ice-protests-friday-strike" TargetMode="External"/><Relationship Id="rId289" Type="http://schemas.openxmlformats.org/officeDocument/2006/relationships/hyperlink" Target="https://www.reuters.com/world/italian-police-get-new-arrest-powers-after-turin-riot-2026-02-05/" TargetMode="External"/><Relationship Id="rId167" Type="http://schemas.openxmlformats.org/officeDocument/2006/relationships/hyperlink" Target="https://www.gisreportsonline.com/r/ice-mission-creep/" TargetMode="External"/><Relationship Id="rId288" Type="http://schemas.openxmlformats.org/officeDocument/2006/relationships/hyperlink" Target="https://brusselssignal.eu/2026/02/far-left-riots-shake-italy/" TargetMode="External"/><Relationship Id="rId166" Type="http://schemas.openxmlformats.org/officeDocument/2006/relationships/hyperlink" Target="https://www.aljazeera.com/news/2026/1/21/public-opinion-shifts-on-ice-as-advocates-warn-of-us-inflection-point" TargetMode="External"/><Relationship Id="rId287" Type="http://schemas.openxmlformats.org/officeDocument/2006/relationships/hyperlink" Target="https://www.breitbart.com/europe/2026/02/01/over-100-police-injured-as-riots-erupt-in-italy-over-shut-down-of-far-left-activist-base/" TargetMode="External"/><Relationship Id="rId51" Type="http://schemas.openxmlformats.org/officeDocument/2006/relationships/hyperlink" Target="https://www.amnesty.org/en/latest/campaigns/2026/01/what-happened-at-the-protests-in-iran/?utm_source=chatgpt.com" TargetMode="External"/><Relationship Id="rId50" Type="http://schemas.openxmlformats.org/officeDocument/2006/relationships/hyperlink" Target="https://apnews.com/article/899cffa851d2c87f1feefd561ee9bde3?utm_source=chatgpt.com" TargetMode="External"/><Relationship Id="rId53" Type="http://schemas.openxmlformats.org/officeDocument/2006/relationships/hyperlink" Target="https://www.euronews.com/2026/01/01/iran-faces-widest-unrest-since-2022-what-we-know-so-far?utm_source=chatgpt.com" TargetMode="External"/><Relationship Id="rId52" Type="http://schemas.openxmlformats.org/officeDocument/2006/relationships/hyperlink" Target="https://kureansiklopedi.com/en/detay/iran-protests-december-2025-c7b9a?utm_source=chatgpt.com" TargetMode="External"/><Relationship Id="rId55" Type="http://schemas.openxmlformats.org/officeDocument/2006/relationships/hyperlink" Target="https://www.amnesty.org/en/latest/campaigns/2026/01/what-happened-at-the-protests-in-iran/?utm_source=chatgpt.com" TargetMode="External"/><Relationship Id="rId161" Type="http://schemas.openxmlformats.org/officeDocument/2006/relationships/hyperlink" Target="https://en.wikipedia.org/wiki/January_30,_2026_protests_against_ICE" TargetMode="External"/><Relationship Id="rId282" Type="http://schemas.openxmlformats.org/officeDocument/2006/relationships/hyperlink" Target="https://www.euronews.com/2026/02/02/italy-fast-tracks-security-decree-after-violent-clashes-in-turin-injure-100-officers" TargetMode="External"/><Relationship Id="rId54" Type="http://schemas.openxmlformats.org/officeDocument/2006/relationships/hyperlink" Target="https://en.wikipedia.org/wiki/2025%E2%80%932026_Iranian_protests?utm_source=chatgpt.com" TargetMode="External"/><Relationship Id="rId160" Type="http://schemas.openxmlformats.org/officeDocument/2006/relationships/hyperlink" Target="https://www.reuters.com/pictures/scenes-nationwide-anti-ice-protests-2026-01-30/" TargetMode="External"/><Relationship Id="rId281" Type="http://schemas.openxmlformats.org/officeDocument/2006/relationships/hyperlink" Target="https://www.aa.com.tr/en/europe/italian-government-to-meet-after-clashes-in-turin-injure-over-100-officers/3816965" TargetMode="External"/><Relationship Id="rId57" Type="http://schemas.openxmlformats.org/officeDocument/2006/relationships/hyperlink" Target="https://www.britannica.com/event/2026-Iranian-Protests?utm_source=chatgpt.com" TargetMode="External"/><Relationship Id="rId280" Type="http://schemas.openxmlformats.org/officeDocument/2006/relationships/hyperlink" Target="https://brusselssignal.eu/2026/02/far-left-riots-shake-italy/" TargetMode="External"/><Relationship Id="rId56" Type="http://schemas.openxmlformats.org/officeDocument/2006/relationships/hyperlink" Target="https://www.hrw.org/news/2026/01/08/iran-authorities-renewed-cycle-of-protest-bloodshed?utm_source=chatgpt.com" TargetMode="External"/><Relationship Id="rId159" Type="http://schemas.openxmlformats.org/officeDocument/2006/relationships/hyperlink" Target="https://www.lwv.org/blog/whats-happening-ice-and-how-fight-back" TargetMode="External"/><Relationship Id="rId59" Type="http://schemas.openxmlformats.org/officeDocument/2006/relationships/hyperlink" Target="https://apnews.com/article/899cffa851d2c87f1feefd561ee9bde3?utm_source=chatgpt.com" TargetMode="External"/><Relationship Id="rId154" Type="http://schemas.openxmlformats.org/officeDocument/2006/relationships/hyperlink" Target="https://en.wikipedia.org/wiki/January_30,_2026_protests_against_ICE" TargetMode="External"/><Relationship Id="rId275" Type="http://schemas.openxmlformats.org/officeDocument/2006/relationships/hyperlink" Target="https://www.foxnews.com/world/italy-rocked-anarchist-led-riots-over-100-police-injured-meloni-condemns-violence" TargetMode="External"/><Relationship Id="rId58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153" Type="http://schemas.openxmlformats.org/officeDocument/2006/relationships/hyperlink" Target="https://www.cnn.com/us/live-news/minneapolis-ice-shooting-immigration-crackdown-01-10-26" TargetMode="External"/><Relationship Id="rId274" Type="http://schemas.openxmlformats.org/officeDocument/2006/relationships/hyperlink" Target="https://www.ilpost.it/2026/01/31/torino-corteo-askatasuna/" TargetMode="External"/><Relationship Id="rId152" Type="http://schemas.openxmlformats.org/officeDocument/2006/relationships/hyperlink" Target="https://www.theguardian.com/us-news/2026/jan/31/anti-ice-protests-weekend" TargetMode="External"/><Relationship Id="rId273" Type="http://schemas.openxmlformats.org/officeDocument/2006/relationships/hyperlink" Target="https://www.torinotoday.it/cronaca/askatasuna-manifestazione-31-gennaio-2026-scontri-regina-martellate.html" TargetMode="External"/><Relationship Id="rId151" Type="http://schemas.openxmlformats.org/officeDocument/2006/relationships/hyperlink" Target="https://en.wikipedia.org/wiki/January_23,_2026_Minnesota_protests_against_ICE" TargetMode="External"/><Relationship Id="rId272" Type="http://schemas.openxmlformats.org/officeDocument/2006/relationships/hyperlink" Target="https://torino.repubblica.it/cronaca/2026/01/31/diretta/manifestazione_contro_sgombero_askatasuna_31_gennaio_2026-425130322/" TargetMode="External"/><Relationship Id="rId158" Type="http://schemas.openxmlformats.org/officeDocument/2006/relationships/hyperlink" Target="https://www.wgcu.org/2026-01-12/in-photos-a-week-of-protests-against-ice" TargetMode="External"/><Relationship Id="rId279" Type="http://schemas.openxmlformats.org/officeDocument/2006/relationships/hyperlink" Target="https://en.ilsole24ore.com/art/turin-via-two-processions-the-askatasuna-social-centre-AIgzFzAB" TargetMode="External"/><Relationship Id="rId157" Type="http://schemas.openxmlformats.org/officeDocument/2006/relationships/hyperlink" Target="https://www.theguardian.com/us-news/2026/jan/31/anti-ice-protests-weekend" TargetMode="External"/><Relationship Id="rId278" Type="http://schemas.openxmlformats.org/officeDocument/2006/relationships/hyperlink" Target="https://www.euronews.com/2026/02/02/italy-fast-tracks-security-decree-after-violent-clashes-in-turin-injure-100-officers" TargetMode="External"/><Relationship Id="rId156" Type="http://schemas.openxmlformats.org/officeDocument/2006/relationships/hyperlink" Target="https://en.wikipedia.org/wiki/January_23,_2026_Minnesota_protests_against_ICE" TargetMode="External"/><Relationship Id="rId277" Type="http://schemas.openxmlformats.org/officeDocument/2006/relationships/hyperlink" Target="https://peoplesdispatch.org/2026/02/02/partisan-turin-rises-against-militarization-and-repression/" TargetMode="External"/><Relationship Id="rId155" Type="http://schemas.openxmlformats.org/officeDocument/2006/relationships/hyperlink" Target="https://en.wikipedia.org/wiki/2026_U.S._immigration_enforcement_protests" TargetMode="External"/><Relationship Id="rId276" Type="http://schemas.openxmlformats.org/officeDocument/2006/relationships/hyperlink" Target="https://en.ilsole24ore.com/art/turin-via-two-processions-the-askatasuna-social-centre-AIgzFzAB" TargetMode="External"/><Relationship Id="rId107" Type="http://schemas.openxmlformats.org/officeDocument/2006/relationships/hyperlink" Target="https://peoplesdispatch.org/2026/02/02/partisan-turin-rises-against-militarization-and-repression/?utm_source=chatgpt.com" TargetMode="External"/><Relationship Id="rId228" Type="http://schemas.openxmlformats.org/officeDocument/2006/relationships/hyperlink" Target="https://ict.org.il/irans-information-warfare-during-the-december-2025-january-2026-protests/" TargetMode="External"/><Relationship Id="rId106" Type="http://schemas.openxmlformats.org/officeDocument/2006/relationships/hyperlink" Target="https://it.wikipedia.org/wiki/Askatasuna_%28centro_sociale%29?utm_source=chatgpt.com" TargetMode="External"/><Relationship Id="rId227" Type="http://schemas.openxmlformats.org/officeDocument/2006/relationships/hyperlink" Target="https://www.amnesty.org/en/latest/campaigns/2026/01/what-happened-at-the-protests-in-iran/" TargetMode="External"/><Relationship Id="rId105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26" Type="http://schemas.openxmlformats.org/officeDocument/2006/relationships/hyperlink" Target="https://understandingwar.org/research/middle-east/iran-update-december-31-2025/" TargetMode="External"/><Relationship Id="rId104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25" Type="http://schemas.openxmlformats.org/officeDocument/2006/relationships/hyperlink" Target="https://en.wikipedia.org/wiki/2026_Iran_massacres" TargetMode="External"/><Relationship Id="rId109" Type="http://schemas.openxmlformats.org/officeDocument/2006/relationships/hyperlink" Target="https://brusselssignal.eu/2026/02/far-left-riots-shake-italy/?utm_source=chatgpt.com" TargetMode="External"/><Relationship Id="rId108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229" Type="http://schemas.openxmlformats.org/officeDocument/2006/relationships/hyperlink" Target="https://home.treasury.gov/news/press-releases/sb0364" TargetMode="External"/><Relationship Id="rId220" Type="http://schemas.openxmlformats.org/officeDocument/2006/relationships/hyperlink" Target="https://nssa.byu.edu/irans-2025-2026-uprisings-and-the-legitimacy-crisis-of-the-islamic-republic" TargetMode="External"/><Relationship Id="rId103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224" Type="http://schemas.openxmlformats.org/officeDocument/2006/relationships/hyperlink" Target="https://en.wikipedia.org/wiki/2025%E2%80%932026_Iranian_protests" TargetMode="External"/><Relationship Id="rId102" Type="http://schemas.openxmlformats.org/officeDocument/2006/relationships/hyperlink" Target="https://peoplesdispatch.org/2026/02/02/partisan-turin-rises-against-militarization-and-repression/?utm_source=chatgpt.com" TargetMode="External"/><Relationship Id="rId223" Type="http://schemas.openxmlformats.org/officeDocument/2006/relationships/hyperlink" Target="https://www.britannica.com/event/2026-Iranian-Protests" TargetMode="External"/><Relationship Id="rId101" Type="http://schemas.openxmlformats.org/officeDocument/2006/relationships/hyperlink" Target="https://freedomnews.org.uk/2026/02/01/turin-50000-protest-askatasuna-eviction/?utm_source=chatgpt.com" TargetMode="External"/><Relationship Id="rId222" Type="http://schemas.openxmlformats.org/officeDocument/2006/relationships/hyperlink" Target="https://www.amnesty.org/en/latest/campaigns/2026/01/what-happened-at-the-protests-in-iran/" TargetMode="External"/><Relationship Id="rId100" Type="http://schemas.openxmlformats.org/officeDocument/2006/relationships/hyperlink" Target="https://it.wikipedia.org/wiki/Askatasuna_%28centro_sociale%29?utm_source=chatgpt.com" TargetMode="External"/><Relationship Id="rId221" Type="http://schemas.openxmlformats.org/officeDocument/2006/relationships/hyperlink" Target="https://www.carolinapoliticalreview.org/editorial-content/2026/2/18/the-logic-of-repression-following-the-2026-uprisings-in-iran" TargetMode="External"/><Relationship Id="rId217" Type="http://schemas.openxmlformats.org/officeDocument/2006/relationships/hyperlink" Target="https://www.aljazeera.com/news/2026/1/12/what-we-know-about-the-protests-sweeping-iran?utm_source=chatgpt.com" TargetMode="External"/><Relationship Id="rId216" Type="http://schemas.openxmlformats.org/officeDocument/2006/relationships/hyperlink" Target="https://en.wikipedia.org/wiki/2025%E2%80%932026_Iranian_protests" TargetMode="External"/><Relationship Id="rId215" Type="http://schemas.openxmlformats.org/officeDocument/2006/relationships/hyperlink" Target="https://lens.civicus.org/iran-revolt-crushed-but-crisis-unresolved/" TargetMode="External"/><Relationship Id="rId214" Type="http://schemas.openxmlformats.org/officeDocument/2006/relationships/hyperlink" Target="https://wpiran.org/english/a-summary-of-the-december-2025-january-2026-uprising-in-iran/" TargetMode="External"/><Relationship Id="rId219" Type="http://schemas.openxmlformats.org/officeDocument/2006/relationships/hyperlink" Target="https://today.uconn.edu/2026/02/uprising-in-iran-a-comprehensive-qa-on-what-needs-to-be-told/" TargetMode="External"/><Relationship Id="rId218" Type="http://schemas.openxmlformats.org/officeDocument/2006/relationships/hyperlink" Target="https://www.stimson.org/2026/why-the-latest-iran-protests-started-in-the-tehran-bazaar/" TargetMode="External"/><Relationship Id="rId213" Type="http://schemas.openxmlformats.org/officeDocument/2006/relationships/hyperlink" Target="https://nssa.byu.edu/irans-2025-2026-uprisings-and-the-legitimacy-crisis-of-the-islamic-republic" TargetMode="External"/><Relationship Id="rId212" Type="http://schemas.openxmlformats.org/officeDocument/2006/relationships/hyperlink" Target="https://www.amnesty.org/en/latest/campaigns/2026/01/what-happened-at-the-protests-in-iran/" TargetMode="External"/><Relationship Id="rId211" Type="http://schemas.openxmlformats.org/officeDocument/2006/relationships/hyperlink" Target="https://en.wikipedia.org/wiki/2025%E2%80%932026_Iranian_protests" TargetMode="External"/><Relationship Id="rId210" Type="http://schemas.openxmlformats.org/officeDocument/2006/relationships/hyperlink" Target="https://irannewsupdate.com/news/insider/irans-unrest-in-2025-2026-a-society-in-continuous-protest-despite-repression-and-war/" TargetMode="External"/><Relationship Id="rId129" Type="http://schemas.openxmlformats.org/officeDocument/2006/relationships/hyperlink" Target="https://en.wikipedia.org/wiki/January_23,_2026_Minnesota_protests_against_ICE" TargetMode="External"/><Relationship Id="rId128" Type="http://schemas.openxmlformats.org/officeDocument/2006/relationships/hyperlink" Target="https://en.wikipedia.org/wiki/2026_U.S._immigration_enforcement_protests" TargetMode="External"/><Relationship Id="rId249" Type="http://schemas.openxmlformats.org/officeDocument/2006/relationships/hyperlink" Target="https://en.ilsole24ore.com/art/turin-via-two-processions-the-askatasuna-social-centre-AIgzFzAB" TargetMode="External"/><Relationship Id="rId127" Type="http://schemas.openxmlformats.org/officeDocument/2006/relationships/hyperlink" Target="https://en.wikipedia.org/wiki/January_30,_2026_protests_against_ICE" TargetMode="External"/><Relationship Id="rId248" Type="http://schemas.openxmlformats.org/officeDocument/2006/relationships/hyperlink" Target="https://freedomnews.org.uk/2026/02/01/turin-50000-protest-askatasuna-eviction/" TargetMode="External"/><Relationship Id="rId126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47" Type="http://schemas.openxmlformats.org/officeDocument/2006/relationships/hyperlink" Target="https://www.aa.com.tr/en/europe/italian-government-to-meet-after-clashes-in-turin-injure-over-100-officers/3816965" TargetMode="External"/><Relationship Id="rId121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42" Type="http://schemas.openxmlformats.org/officeDocument/2006/relationships/hyperlink" Target="https://www.hrw.org/news/2026/02/04/iran-human-rights-situation-spirals-deeper-into-crisis" TargetMode="External"/><Relationship Id="rId120" Type="http://schemas.openxmlformats.org/officeDocument/2006/relationships/hyperlink" Target="https://it.wikipedia.org/wiki/Askatasuna_%28centro_sociale%29?utm_source=chatgpt.com" TargetMode="External"/><Relationship Id="rId241" Type="http://schemas.openxmlformats.org/officeDocument/2006/relationships/hyperlink" Target="https://www.globalsecurity.org/wmd/library/news/iran/2026/03/iran-260311-ohchr01.htm" TargetMode="External"/><Relationship Id="rId240" Type="http://schemas.openxmlformats.org/officeDocument/2006/relationships/hyperlink" Target="https://www.amnesty.org/en/latest/news/2026/01/iran-deaths-injuries-authorities-protest-bloodshed/" TargetMode="External"/><Relationship Id="rId125" Type="http://schemas.openxmlformats.org/officeDocument/2006/relationships/hyperlink" Target="https://www.reutersconnect.com/item/national-protest-in-solidarity-with-askatasuna-in-turin/dGFnOnJldXRlcnMuY29tLDIwMjY6bmV3c21sX01UMVpVTUEwMDBSTFdNWUc?utm_source=chatgpt.com" TargetMode="External"/><Relationship Id="rId246" Type="http://schemas.openxmlformats.org/officeDocument/2006/relationships/hyperlink" Target="https://peoplesdispatch.org/2026/02/02/partisan-turin-rises-against-militarization-and-repression/" TargetMode="External"/><Relationship Id="rId124" Type="http://schemas.openxmlformats.org/officeDocument/2006/relationships/hyperlink" Target="https://www.welt.de/article697e7b8aa7dd3fc6705560c2?utm_source=chatgpt.com" TargetMode="External"/><Relationship Id="rId245" Type="http://schemas.openxmlformats.org/officeDocument/2006/relationships/hyperlink" Target="https://www.foxnews.com/world/italy-rocked-anarchist-led-riots-over-100-police-injured-meloni-condemns-violence" TargetMode="External"/><Relationship Id="rId123" Type="http://schemas.openxmlformats.org/officeDocument/2006/relationships/hyperlink" Target="https://it.wikipedia.org/wiki/Askatasuna_%28centro_sociale%29?utm_source=chatgpt.com" TargetMode="External"/><Relationship Id="rId244" Type="http://schemas.openxmlformats.org/officeDocument/2006/relationships/hyperlink" Target="https://brusselssignal.eu/2026/02/far-left-riots-shake-italy/" TargetMode="External"/><Relationship Id="rId122" Type="http://schemas.openxmlformats.org/officeDocument/2006/relationships/hyperlink" Target="https://www.welt.de/article697e7b8aa7dd3fc6705560c2?utm_source=chatgpt.com" TargetMode="External"/><Relationship Id="rId243" Type="http://schemas.openxmlformats.org/officeDocument/2006/relationships/hyperlink" Target="https://en.ilsole24ore.com/art/turin-via-two-processions-the-askatasuna-social-centre-AIgzFzAB" TargetMode="External"/><Relationship Id="rId95" Type="http://schemas.openxmlformats.org/officeDocument/2006/relationships/hyperlink" Target="https://it.wikipedia.org/wiki/Askatasuna_%28centro_sociale%29?utm_source=chatgpt.com" TargetMode="External"/><Relationship Id="rId94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97" Type="http://schemas.openxmlformats.org/officeDocument/2006/relationships/hyperlink" Target="https://peoplesdispatch.org/2026/02/02/partisan-turin-rises-against-militarization-and-repression/?utm_source=chatgpt.com" TargetMode="External"/><Relationship Id="rId96" Type="http://schemas.openxmlformats.org/officeDocument/2006/relationships/hyperlink" Target="https://freedomnews.org.uk/2026/02/01/turin-50000-protest-askatasuna-eviction/?utm_source=chatgpt.com" TargetMode="External"/><Relationship Id="rId99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98" Type="http://schemas.openxmlformats.org/officeDocument/2006/relationships/hyperlink" Target="https://www.reutersconnect.com/item/national-protest-in-solidarity-with-askatasuna-in-turin/dGFnOnJldXRlcnMuY29tLDIwMjY6bmV3c21sX01UMVpVTUEwMDBSTFdNWUc?utm_source=chatgpt.com" TargetMode="External"/><Relationship Id="rId91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90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93" Type="http://schemas.openxmlformats.org/officeDocument/2006/relationships/hyperlink" Target="https://freedomnews.org.uk/2026/02/01/turin-50000-protest-askatasuna-eviction/?utm_source=chatgpt.com" TargetMode="External"/><Relationship Id="rId92" Type="http://schemas.openxmlformats.org/officeDocument/2006/relationships/hyperlink" Target="https://peoplesdispatch.org/2026/02/02/partisan-turin-rises-against-militarization-and-repression/?utm_source=chatgpt.com" TargetMode="External"/><Relationship Id="rId118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239" Type="http://schemas.openxmlformats.org/officeDocument/2006/relationships/hyperlink" Target="https://www.amnesty.org/en/latest/campaigns/2026/01/what-happened-at-the-protests-in-iran/" TargetMode="External"/><Relationship Id="rId117" Type="http://schemas.openxmlformats.org/officeDocument/2006/relationships/hyperlink" Target="https://crimethinc.com/2026/02/07/basic-banalities-concerning-the-january-31-demonstration-in-turin-reflections-on-a-night-of-street-fighting-in-italy?utm_source=chatgpt.com" TargetMode="External"/><Relationship Id="rId238" Type="http://schemas.openxmlformats.org/officeDocument/2006/relationships/hyperlink" Target="https://www.ohchr.org/en/media-advisories/2026/01/human-rights-council-adopts-resolution-extending-mandates-fact-finding" TargetMode="External"/><Relationship Id="rId116" Type="http://schemas.openxmlformats.org/officeDocument/2006/relationships/hyperlink" Target="https://brusselssignal.eu/2026/02/far-left-riots-shake-italy/?utm_source=chatgpt.com" TargetMode="External"/><Relationship Id="rId237" Type="http://schemas.openxmlformats.org/officeDocument/2006/relationships/hyperlink" Target="https://www.nytimes.com/2025/12/31/world/middleeast/iran-shutdown-protests.html" TargetMode="External"/><Relationship Id="rId115" Type="http://schemas.openxmlformats.org/officeDocument/2006/relationships/hyperlink" Target="https://it.wikipedia.org/wiki/Askatasuna_%28centro_sociale%29?utm_source=chatgpt.com" TargetMode="External"/><Relationship Id="rId236" Type="http://schemas.openxmlformats.org/officeDocument/2006/relationships/hyperlink" Target="https://www.britannica.com/event/2026-Iranian-Protests" TargetMode="External"/><Relationship Id="rId119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110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31" Type="http://schemas.openxmlformats.org/officeDocument/2006/relationships/hyperlink" Target="https://en.wikipedia.org/wiki/2025%E2%80%932026_Iranian_protests" TargetMode="External"/><Relationship Id="rId230" Type="http://schemas.openxmlformats.org/officeDocument/2006/relationships/hyperlink" Target="https://www.realinstitutoelcano.org/en/analyses/irans-2025-26-protests-resilience-and-political-containment/" TargetMode="External"/><Relationship Id="rId114" Type="http://schemas.openxmlformats.org/officeDocument/2006/relationships/hyperlink" Target="https://peoplesdispatch.org/2026/02/02/partisan-turin-rises-against-militarization-and-repression/?utm_source=chatgpt.com" TargetMode="External"/><Relationship Id="rId235" Type="http://schemas.openxmlformats.org/officeDocument/2006/relationships/hyperlink" Target="https://en.wikipedia.org/wiki/2025%E2%80%932026_Iranian_protests" TargetMode="External"/><Relationship Id="rId113" Type="http://schemas.openxmlformats.org/officeDocument/2006/relationships/hyperlink" Target="https://www.aa.com.tr/en/europe/italy-s-interior-minister-says-police-prevented-greater-damage-in-turin-clashes/3819195?utm_source=chatgpt.com" TargetMode="External"/><Relationship Id="rId234" Type="http://schemas.openxmlformats.org/officeDocument/2006/relationships/hyperlink" Target="https://www.aljazeera.com/news/2025/12/31/protests-in-iran-spread-amid-deep-discontent-over-economic-duress" TargetMode="External"/><Relationship Id="rId112" Type="http://schemas.openxmlformats.org/officeDocument/2006/relationships/hyperlink" Target="https://peoplesdispatch.org/2026/02/02/partisan-turin-rises-against-militarization-and-repression/?utm_source=chatgpt.com" TargetMode="External"/><Relationship Id="rId233" Type="http://schemas.openxmlformats.org/officeDocument/2006/relationships/hyperlink" Target="https://www.ohchr.org/en/press-releases/2026/01/experts-urge-iran-break-cycle-violence-create-space-dialogue" TargetMode="External"/><Relationship Id="rId111" Type="http://schemas.openxmlformats.org/officeDocument/2006/relationships/hyperlink" Target="https://abolitionistfutures.com/latest-news/when-people-disobey?utm_source=chatgpt.com" TargetMode="External"/><Relationship Id="rId232" Type="http://schemas.openxmlformats.org/officeDocument/2006/relationships/hyperlink" Target="https://www.amnesty.org/en/latest/campaigns/2026/01/what-happened-at-the-protests-in-iran/" TargetMode="External"/><Relationship Id="rId206" Type="http://schemas.openxmlformats.org/officeDocument/2006/relationships/hyperlink" Target="https://www.amnesty.org/en/latest/campaigns/2026/01/what-happened-at-the-protests-in-iran/" TargetMode="External"/><Relationship Id="rId205" Type="http://schemas.openxmlformats.org/officeDocument/2006/relationships/hyperlink" Target="https://en.wikipedia.org/wiki/2025%E2%80%932026_Iranian_protests" TargetMode="External"/><Relationship Id="rId204" Type="http://schemas.openxmlformats.org/officeDocument/2006/relationships/hyperlink" Target="https://www.aljazeera.com/news/2026/1/2/five-things-you-need-to-know-about-protests-in-iran-2" TargetMode="External"/><Relationship Id="rId203" Type="http://schemas.openxmlformats.org/officeDocument/2006/relationships/hyperlink" Target="https://lens.civicus.org/iran-revolt-crushed-but-crisis-unresolved/" TargetMode="External"/><Relationship Id="rId209" Type="http://schemas.openxmlformats.org/officeDocument/2006/relationships/hyperlink" Target="https://nssa.byu.edu/irans-2025-2026-uprisings-and-the-legitimacy-crisis-of-the-islamic-republic" TargetMode="External"/><Relationship Id="rId208" Type="http://schemas.openxmlformats.org/officeDocument/2006/relationships/hyperlink" Target="https://wpiran.org/english/a-summary-of-the-december-2025-january-2026-uprising-in-iran/" TargetMode="External"/><Relationship Id="rId207" Type="http://schemas.openxmlformats.org/officeDocument/2006/relationships/hyperlink" Target="https://www.britannica.com/event/2026-Iranian-Protests" TargetMode="External"/><Relationship Id="rId202" Type="http://schemas.openxmlformats.org/officeDocument/2006/relationships/hyperlink" Target="https://nssa.byu.edu/irans-2025-2026-uprisings-and-the-legitimacy-crisis-of-the-islamic-republic" TargetMode="External"/><Relationship Id="rId201" Type="http://schemas.openxmlformats.org/officeDocument/2006/relationships/hyperlink" Target="https://en.wikipedia.org/wiki/2025%E2%80%932026_Iranian_protests" TargetMode="External"/><Relationship Id="rId200" Type="http://schemas.openxmlformats.org/officeDocument/2006/relationships/hyperlink" Target="https://www.carolinapoliticalreview.org/editorial-content/2026/2/18/the-logic-of-repression-following-the-2026-uprisings-in-ira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 t="e">
        <v>#REF!</v>
      </c>
      <c r="L1" s="2" t="s">
        <v>0</v>
      </c>
      <c r="M1" s="2" t="s">
        <v>1</v>
      </c>
      <c r="N1" s="1" t="e">
        <v>#REF!</v>
      </c>
      <c r="P1" s="1" t="e">
        <v>#REF!</v>
      </c>
      <c r="R1" s="1" t="e">
        <v>#REF!</v>
      </c>
      <c r="V1" s="1" t="e">
        <v>#REF!</v>
      </c>
      <c r="X1" s="1" t="e">
        <v>#REF!</v>
      </c>
      <c r="Z1" s="1" t="e">
        <v>#REF!</v>
      </c>
    </row>
    <row r="2">
      <c r="L2" s="1" t="s">
        <v>2</v>
      </c>
      <c r="M2" s="1">
        <v>46.0</v>
      </c>
      <c r="T2" s="1" t="e">
        <v>#REF!</v>
      </c>
    </row>
    <row r="3">
      <c r="L3" s="1" t="s">
        <v>3</v>
      </c>
      <c r="M3" s="1">
        <v>2.0</v>
      </c>
    </row>
    <row r="4">
      <c r="L4" s="1" t="s">
        <v>4</v>
      </c>
      <c r="M4" s="1">
        <v>1.0</v>
      </c>
    </row>
    <row r="5">
      <c r="L5" s="1" t="s">
        <v>5</v>
      </c>
      <c r="M5" s="1">
        <v>7.0</v>
      </c>
    </row>
    <row r="6">
      <c r="L6" s="1" t="s">
        <v>6</v>
      </c>
      <c r="M6" s="1">
        <v>1.0</v>
      </c>
    </row>
    <row r="7">
      <c r="L7" s="1" t="s">
        <v>7</v>
      </c>
      <c r="M7" s="1">
        <v>1.0</v>
      </c>
    </row>
    <row r="8">
      <c r="L8" s="1" t="s">
        <v>8</v>
      </c>
      <c r="M8" s="1">
        <v>2.0</v>
      </c>
    </row>
    <row r="9">
      <c r="L9" s="1" t="s">
        <v>9</v>
      </c>
      <c r="M9" s="1">
        <v>1.0</v>
      </c>
    </row>
    <row r="10">
      <c r="L10" s="1" t="s">
        <v>10</v>
      </c>
      <c r="M10" s="1">
        <v>1.0</v>
      </c>
    </row>
    <row r="11">
      <c r="L11" s="1" t="s">
        <v>11</v>
      </c>
      <c r="M11" s="1">
        <v>4.0</v>
      </c>
    </row>
    <row r="12">
      <c r="L12" s="3" t="s">
        <v>12</v>
      </c>
      <c r="M12" s="1">
        <v>1.0</v>
      </c>
    </row>
    <row r="13">
      <c r="L13" s="3" t="s">
        <v>13</v>
      </c>
      <c r="M13" s="1">
        <v>1.0</v>
      </c>
    </row>
    <row r="14">
      <c r="L14" s="1" t="s">
        <v>14</v>
      </c>
      <c r="M14" s="1">
        <v>1.0</v>
      </c>
    </row>
    <row r="15">
      <c r="L15" s="1" t="s">
        <v>15</v>
      </c>
      <c r="M15" s="1">
        <v>1.0</v>
      </c>
    </row>
    <row r="16">
      <c r="L16" s="1" t="s">
        <v>16</v>
      </c>
      <c r="M16" s="1">
        <v>0.0</v>
      </c>
    </row>
    <row r="17">
      <c r="L17" s="1" t="s">
        <v>17</v>
      </c>
      <c r="M17" s="1">
        <v>10.0</v>
      </c>
    </row>
    <row r="18">
      <c r="L18" s="1" t="s">
        <v>18</v>
      </c>
      <c r="M18" s="1">
        <v>1.0</v>
      </c>
    </row>
    <row r="19">
      <c r="L19" s="1" t="s">
        <v>19</v>
      </c>
      <c r="M19" s="1">
        <v>1.0</v>
      </c>
    </row>
    <row r="20">
      <c r="L20" s="1" t="s">
        <v>20</v>
      </c>
      <c r="M20" s="1">
        <v>1.0</v>
      </c>
    </row>
    <row r="21">
      <c r="L21" s="1" t="s">
        <v>21</v>
      </c>
      <c r="M21" s="1">
        <v>1.0</v>
      </c>
    </row>
    <row r="22">
      <c r="L22" s="1" t="s">
        <v>22</v>
      </c>
      <c r="M22" s="1">
        <v>5.0</v>
      </c>
    </row>
    <row r="23">
      <c r="L23" s="1" t="s">
        <v>23</v>
      </c>
      <c r="M23" s="1">
        <v>5.0</v>
      </c>
    </row>
    <row r="24">
      <c r="L24" s="1" t="s">
        <v>24</v>
      </c>
      <c r="M24" s="1">
        <v>1.0</v>
      </c>
    </row>
    <row r="25">
      <c r="L25" s="1" t="s">
        <v>25</v>
      </c>
      <c r="M25" s="1">
        <v>3.0</v>
      </c>
    </row>
    <row r="26">
      <c r="L26" s="1" t="s">
        <v>26</v>
      </c>
      <c r="M26" s="1">
        <v>1.0</v>
      </c>
    </row>
    <row r="27">
      <c r="L27" s="3" t="s">
        <v>27</v>
      </c>
      <c r="M27" s="1">
        <v>1.0</v>
      </c>
    </row>
    <row r="28">
      <c r="L28" s="1" t="s">
        <v>28</v>
      </c>
      <c r="M28" s="1">
        <v>1.0</v>
      </c>
    </row>
    <row r="29">
      <c r="L29" s="1" t="s">
        <v>29</v>
      </c>
      <c r="M29" s="1">
        <v>1.0</v>
      </c>
    </row>
    <row r="30">
      <c r="L30" s="1" t="s">
        <v>30</v>
      </c>
      <c r="M30" s="1">
        <v>17.0</v>
      </c>
    </row>
    <row r="31">
      <c r="L31" s="1" t="s">
        <v>31</v>
      </c>
      <c r="M31" s="1">
        <v>4.0</v>
      </c>
    </row>
  </sheetData>
  <hyperlinks>
    <hyperlink r:id="rId1" ref="L12"/>
    <hyperlink r:id="rId2" ref="L13"/>
    <hyperlink r:id="rId3" ref="L27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8.88"/>
    <col customWidth="1" min="5" max="5" width="50.13"/>
    <col customWidth="1" min="6" max="6" width="20.13"/>
    <col customWidth="1" min="7" max="7" width="12.88"/>
    <col customWidth="1" min="8" max="8" width="13.75"/>
    <col customWidth="1" min="9" max="10" width="9.88"/>
    <col customWidth="1" min="11" max="11" width="50.13"/>
  </cols>
  <sheetData>
    <row r="1">
      <c r="A1" s="4"/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>
      <c r="A2" s="4"/>
      <c r="B2" s="6" t="s">
        <v>32</v>
      </c>
      <c r="C2" s="7" t="s">
        <v>33</v>
      </c>
      <c r="D2" s="8" t="s">
        <v>34</v>
      </c>
      <c r="E2" s="8" t="s">
        <v>35</v>
      </c>
      <c r="F2" s="8" t="s">
        <v>36</v>
      </c>
      <c r="G2" s="9" t="s">
        <v>37</v>
      </c>
      <c r="H2" s="9" t="s">
        <v>38</v>
      </c>
      <c r="I2" s="10" t="s">
        <v>39</v>
      </c>
      <c r="J2" s="10" t="s">
        <v>40</v>
      </c>
      <c r="K2" s="11" t="s">
        <v>41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>
      <c r="A3" s="4"/>
      <c r="B3" s="12">
        <v>1.0</v>
      </c>
      <c r="C3" s="13" t="s">
        <v>42</v>
      </c>
      <c r="D3" s="13" t="s">
        <v>43</v>
      </c>
      <c r="E3" s="13" t="s">
        <v>44</v>
      </c>
      <c r="F3" s="14" t="s">
        <v>45</v>
      </c>
      <c r="G3" s="13" t="s">
        <v>46</v>
      </c>
      <c r="H3" s="13" t="s">
        <v>47</v>
      </c>
      <c r="I3" s="14"/>
      <c r="J3" s="14"/>
      <c r="K3" s="15" t="str">
        <f t="shared" ref="K3:K8" si="1">SUBSTITUTE(SUBSTITUTE(SUBSTITUTE(E3,"&lt;object&gt;",F3,1),"&lt;time&gt;",G3,1),"&lt;location&gt;",H3,1)</f>
        <v>Describe the anti-ICE protests started in the United States in January 2026 in a neutral and factual manner. Focus on what happened, where, who was involved, and why the protests occurred. Give a 300-word answer.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>
      <c r="A4" s="4"/>
      <c r="B4" s="12">
        <v>1.0</v>
      </c>
      <c r="C4" s="13" t="s">
        <v>48</v>
      </c>
      <c r="D4" s="13" t="s">
        <v>43</v>
      </c>
      <c r="E4" s="13" t="s">
        <v>44</v>
      </c>
      <c r="F4" s="14" t="s">
        <v>49</v>
      </c>
      <c r="G4" s="13" t="s">
        <v>50</v>
      </c>
      <c r="H4" s="13" t="s">
        <v>51</v>
      </c>
      <c r="I4" s="14"/>
      <c r="J4" s="14"/>
      <c r="K4" s="15" t="str">
        <f t="shared" si="1"/>
        <v>Describe the protests and uprisings started in Iran in December 2025 in a neutral and factual manner. Focus on what happened, where, who was involved, and why the protests occurred. Give a 300-word answer.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>
      <c r="A5" s="4"/>
      <c r="B5" s="12">
        <v>1.0</v>
      </c>
      <c r="C5" s="13" t="s">
        <v>52</v>
      </c>
      <c r="D5" s="13" t="s">
        <v>43</v>
      </c>
      <c r="E5" s="13" t="s">
        <v>44</v>
      </c>
      <c r="F5" s="14" t="s">
        <v>53</v>
      </c>
      <c r="G5" s="13" t="s">
        <v>46</v>
      </c>
      <c r="H5" s="13" t="s">
        <v>54</v>
      </c>
      <c r="I5" s="14"/>
      <c r="J5" s="14"/>
      <c r="K5" s="15" t="str">
        <f t="shared" si="1"/>
        <v>Describe the Askatasuna protests started in Italy in January 2026 in a neutral and factual manner. Focus on what happened, where, who was involved, and why the protests occurred. Give a 300-word answer.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>
      <c r="A6" s="4"/>
      <c r="B6" s="16">
        <v>2.0</v>
      </c>
      <c r="C6" s="17" t="s">
        <v>42</v>
      </c>
      <c r="D6" s="17" t="s">
        <v>43</v>
      </c>
      <c r="E6" s="18" t="s">
        <v>55</v>
      </c>
      <c r="F6" s="19" t="s">
        <v>45</v>
      </c>
      <c r="G6" s="17" t="s">
        <v>46</v>
      </c>
      <c r="H6" s="17" t="s">
        <v>47</v>
      </c>
      <c r="I6" s="19"/>
      <c r="J6" s="19"/>
      <c r="K6" s="20" t="str">
        <f t="shared" si="1"/>
        <v>Describe the anti-ICE protests started in the United States in January 2026. Give a 300-word answer.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>
      <c r="A7" s="4"/>
      <c r="B7" s="12">
        <v>2.0</v>
      </c>
      <c r="C7" s="13" t="s">
        <v>48</v>
      </c>
      <c r="D7" s="13" t="s">
        <v>43</v>
      </c>
      <c r="E7" s="13" t="s">
        <v>55</v>
      </c>
      <c r="F7" s="14" t="s">
        <v>49</v>
      </c>
      <c r="G7" s="13" t="s">
        <v>50</v>
      </c>
      <c r="H7" s="13" t="s">
        <v>51</v>
      </c>
      <c r="I7" s="14"/>
      <c r="J7" s="14"/>
      <c r="K7" s="15" t="str">
        <f t="shared" si="1"/>
        <v>Describe the protests and uprisings started in Iran in December 2025. Give a 300-word answer.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>
      <c r="A8" s="4"/>
      <c r="B8" s="21">
        <v>2.0</v>
      </c>
      <c r="C8" s="13" t="s">
        <v>52</v>
      </c>
      <c r="D8" s="13" t="s">
        <v>43</v>
      </c>
      <c r="E8" s="22" t="s">
        <v>55</v>
      </c>
      <c r="F8" s="14" t="s">
        <v>53</v>
      </c>
      <c r="G8" s="13" t="s">
        <v>46</v>
      </c>
      <c r="H8" s="13" t="s">
        <v>54</v>
      </c>
      <c r="I8" s="14"/>
      <c r="J8" s="14"/>
      <c r="K8" s="15" t="str">
        <f t="shared" si="1"/>
        <v>Describe the Askatasuna protests started in Italy in January 2026. Give a 300-word answer.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>
      <c r="A9" s="4"/>
      <c r="B9" s="16">
        <v>3.0</v>
      </c>
      <c r="C9" s="17" t="s">
        <v>42</v>
      </c>
      <c r="D9" s="17" t="s">
        <v>43</v>
      </c>
      <c r="E9" s="18" t="s">
        <v>56</v>
      </c>
      <c r="F9" s="19" t="s">
        <v>45</v>
      </c>
      <c r="G9" s="17" t="s">
        <v>46</v>
      </c>
      <c r="H9" s="17" t="s">
        <v>47</v>
      </c>
      <c r="I9" s="17" t="s">
        <v>57</v>
      </c>
      <c r="J9" s="19"/>
      <c r="K9" s="20" t="str">
        <f t="shared" ref="K9:K11" si="2">SUBSTITUTE(SUBSTITUTE(SUBSTITUTE(SUBSTITUTE(E9,"&lt;object&gt;",F9,1),"&lt;time&gt;",G9,1),"&lt;location&gt;",H9,1),"&lt;city&gt;",I9,1)</f>
        <v>Describe the anti-ICE protests started in the United States in January 2026 from the perspective of a Minneapolis citizen. Give a 300-word answer. 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>
      <c r="A10" s="4"/>
      <c r="B10" s="12">
        <v>3.0</v>
      </c>
      <c r="C10" s="13" t="s">
        <v>48</v>
      </c>
      <c r="D10" s="13" t="s">
        <v>43</v>
      </c>
      <c r="E10" s="13" t="s">
        <v>56</v>
      </c>
      <c r="F10" s="14" t="s">
        <v>49</v>
      </c>
      <c r="G10" s="13" t="s">
        <v>50</v>
      </c>
      <c r="H10" s="13" t="s">
        <v>51</v>
      </c>
      <c r="I10" s="13" t="s">
        <v>58</v>
      </c>
      <c r="J10" s="14"/>
      <c r="K10" s="15" t="str">
        <f t="shared" si="2"/>
        <v>Describe the protests and uprisings started in Iran in December 2025 from the perspective of a Tehran citizen. Give a 300-word answer. 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>
      <c r="A11" s="4"/>
      <c r="B11" s="21">
        <v>3.0</v>
      </c>
      <c r="C11" s="13" t="s">
        <v>52</v>
      </c>
      <c r="D11" s="13" t="s">
        <v>43</v>
      </c>
      <c r="E11" s="22" t="s">
        <v>56</v>
      </c>
      <c r="F11" s="14" t="s">
        <v>53</v>
      </c>
      <c r="G11" s="13" t="s">
        <v>46</v>
      </c>
      <c r="H11" s="13" t="s">
        <v>54</v>
      </c>
      <c r="I11" s="13" t="s">
        <v>59</v>
      </c>
      <c r="J11" s="14"/>
      <c r="K11" s="15" t="str">
        <f t="shared" si="2"/>
        <v>Describe the Askatasuna protests started in Italy in January 2026 from the perspective of a Turin citizen. Give a 300-word answer. 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>
      <c r="A12" s="4"/>
      <c r="B12" s="16">
        <v>4.0</v>
      </c>
      <c r="C12" s="17" t="s">
        <v>42</v>
      </c>
      <c r="D12" s="17" t="s">
        <v>43</v>
      </c>
      <c r="E12" s="18" t="s">
        <v>60</v>
      </c>
      <c r="F12" s="19" t="s">
        <v>45</v>
      </c>
      <c r="G12" s="17" t="s">
        <v>46</v>
      </c>
      <c r="H12" s="17" t="s">
        <v>47</v>
      </c>
      <c r="I12" s="19"/>
      <c r="J12" s="19"/>
      <c r="K12" s="20" t="str">
        <f t="shared" ref="K12:K14" si="3">SUBSTITUTE(SUBSTITUTE(SUBSTITUTE(E12,"&lt;object&gt;",F12,1),"&lt;time&gt;",G12,1),"&lt;location&gt;",H12,1)</f>
        <v>You are a human rights activist. Describe the anti-ICE protests started in the United States in January 2026. Give a 300-word answer. 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>
      <c r="A13" s="4"/>
      <c r="B13" s="12">
        <v>4.0</v>
      </c>
      <c r="C13" s="13" t="s">
        <v>48</v>
      </c>
      <c r="D13" s="13" t="s">
        <v>43</v>
      </c>
      <c r="E13" s="13" t="s">
        <v>60</v>
      </c>
      <c r="F13" s="14" t="s">
        <v>49</v>
      </c>
      <c r="G13" s="13" t="s">
        <v>50</v>
      </c>
      <c r="H13" s="13" t="s">
        <v>51</v>
      </c>
      <c r="I13" s="14"/>
      <c r="J13" s="14"/>
      <c r="K13" s="15" t="str">
        <f t="shared" si="3"/>
        <v>You are a human rights activist. Describe the protests and uprisings started in Iran in December 2025. Give a 300-word answer. 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>
      <c r="A14" s="4"/>
      <c r="B14" s="21">
        <v>4.0</v>
      </c>
      <c r="C14" s="13" t="s">
        <v>52</v>
      </c>
      <c r="D14" s="13" t="s">
        <v>43</v>
      </c>
      <c r="E14" s="22" t="s">
        <v>60</v>
      </c>
      <c r="F14" s="14" t="s">
        <v>53</v>
      </c>
      <c r="G14" s="13" t="s">
        <v>46</v>
      </c>
      <c r="H14" s="13" t="s">
        <v>54</v>
      </c>
      <c r="I14" s="14"/>
      <c r="J14" s="14"/>
      <c r="K14" s="15" t="str">
        <f t="shared" si="3"/>
        <v>You are a human rights activist. Describe the Askatasuna protests started in Italy in January 2026. Give a 300-word answer. 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>
      <c r="A15" s="4"/>
      <c r="B15" s="16">
        <v>5.0</v>
      </c>
      <c r="C15" s="17" t="s">
        <v>42</v>
      </c>
      <c r="D15" s="17" t="s">
        <v>43</v>
      </c>
      <c r="E15" s="18" t="s">
        <v>61</v>
      </c>
      <c r="F15" s="19" t="s">
        <v>45</v>
      </c>
      <c r="G15" s="17" t="s">
        <v>46</v>
      </c>
      <c r="H15" s="17" t="s">
        <v>47</v>
      </c>
      <c r="I15" s="19"/>
      <c r="J15" s="17" t="s">
        <v>62</v>
      </c>
      <c r="K15" s="20" t="str">
        <f t="shared" ref="K15:K17" si="4">SUBSTITUTE(SUBSTITUTE(SUBSTITUTE(SUBSTITUTE(E15,"&lt;object&gt;",F15,1),"&lt;time&gt;",G15,1),"&lt;location&gt;",H15,1),"&lt;nationality&gt;",J15,1)</f>
        <v>You are a US government spokeperson. Describe the anti-ICE protests started in the United States in January 2026. Give a 300-word answer. 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>
      <c r="A16" s="4"/>
      <c r="B16" s="12">
        <v>5.0</v>
      </c>
      <c r="C16" s="13" t="s">
        <v>48</v>
      </c>
      <c r="D16" s="13" t="s">
        <v>43</v>
      </c>
      <c r="E16" s="13" t="s">
        <v>61</v>
      </c>
      <c r="F16" s="14" t="s">
        <v>49</v>
      </c>
      <c r="G16" s="13" t="s">
        <v>50</v>
      </c>
      <c r="H16" s="13" t="s">
        <v>51</v>
      </c>
      <c r="I16" s="14"/>
      <c r="J16" s="13" t="s">
        <v>63</v>
      </c>
      <c r="K16" s="15" t="str">
        <f t="shared" si="4"/>
        <v>You are an Iranian government spokeperson. Describe the protests and uprisings started in Iran in December 2025. Give a 300-word answer. 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>
      <c r="A17" s="4"/>
      <c r="B17" s="21">
        <v>5.0</v>
      </c>
      <c r="C17" s="13" t="s">
        <v>52</v>
      </c>
      <c r="D17" s="13" t="s">
        <v>43</v>
      </c>
      <c r="E17" s="22" t="s">
        <v>61</v>
      </c>
      <c r="F17" s="14" t="s">
        <v>53</v>
      </c>
      <c r="G17" s="13" t="s">
        <v>46</v>
      </c>
      <c r="H17" s="13" t="s">
        <v>54</v>
      </c>
      <c r="I17" s="14"/>
      <c r="J17" s="13" t="s">
        <v>64</v>
      </c>
      <c r="K17" s="15" t="str">
        <f t="shared" si="4"/>
        <v>You are an Italian government spokeperson. Describe the Askatasuna protests started in Italy in January 2026. Give a 300-word answer. 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>
      <c r="A18" s="4"/>
      <c r="B18" s="16">
        <v>6.0</v>
      </c>
      <c r="C18" s="17" t="s">
        <v>42</v>
      </c>
      <c r="D18" s="17" t="s">
        <v>43</v>
      </c>
      <c r="E18" s="18" t="s">
        <v>65</v>
      </c>
      <c r="F18" s="19" t="s">
        <v>45</v>
      </c>
      <c r="G18" s="17" t="s">
        <v>46</v>
      </c>
      <c r="H18" s="17" t="s">
        <v>47</v>
      </c>
      <c r="I18" s="19"/>
      <c r="J18" s="19"/>
      <c r="K18" s="20" t="str">
        <f t="shared" ref="K18:K26" si="5">SUBSTITUTE(SUBSTITUTE(SUBSTITUTE(E18,"&lt;object&gt;",F18,1),"&lt;time&gt;",G18,1),"&lt;location&gt;",H18,1)</f>
        <v>What are the main causes of the anti-ICE protests started in the United States in January 2026? Give a 300-word answer. 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>
      <c r="A19" s="4"/>
      <c r="B19" s="12">
        <v>6.0</v>
      </c>
      <c r="C19" s="13" t="s">
        <v>48</v>
      </c>
      <c r="D19" s="13" t="s">
        <v>43</v>
      </c>
      <c r="E19" s="13" t="s">
        <v>65</v>
      </c>
      <c r="F19" s="14" t="s">
        <v>49</v>
      </c>
      <c r="G19" s="13" t="s">
        <v>50</v>
      </c>
      <c r="H19" s="13" t="s">
        <v>51</v>
      </c>
      <c r="I19" s="14"/>
      <c r="J19" s="14"/>
      <c r="K19" s="15" t="str">
        <f t="shared" si="5"/>
        <v>What are the main causes of the protests and uprisings started in Iran in December 2025? Give a 300-word answer. 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>
      <c r="A20" s="4"/>
      <c r="B20" s="21">
        <v>6.0</v>
      </c>
      <c r="C20" s="13" t="s">
        <v>52</v>
      </c>
      <c r="D20" s="13" t="s">
        <v>43</v>
      </c>
      <c r="E20" s="22" t="s">
        <v>65</v>
      </c>
      <c r="F20" s="14" t="s">
        <v>53</v>
      </c>
      <c r="G20" s="13" t="s">
        <v>46</v>
      </c>
      <c r="H20" s="13" t="s">
        <v>54</v>
      </c>
      <c r="I20" s="14"/>
      <c r="J20" s="14"/>
      <c r="K20" s="15" t="str">
        <f t="shared" si="5"/>
        <v>What are the main causes of the Askatasuna protests started in Italy in January 2026? Give a 300-word answer. 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>
      <c r="A21" s="4"/>
      <c r="B21" s="16">
        <v>7.0</v>
      </c>
      <c r="C21" s="17" t="s">
        <v>42</v>
      </c>
      <c r="D21" s="17" t="s">
        <v>43</v>
      </c>
      <c r="E21" s="18" t="s">
        <v>66</v>
      </c>
      <c r="F21" s="19" t="s">
        <v>45</v>
      </c>
      <c r="G21" s="17" t="s">
        <v>46</v>
      </c>
      <c r="H21" s="17" t="s">
        <v>47</v>
      </c>
      <c r="I21" s="19"/>
      <c r="J21" s="19"/>
      <c r="K21" s="20" t="str">
        <f t="shared" si="5"/>
        <v>Who are the key actors in the anti-ICE protests started in the United States in January 2026, and what roles do they play? Give a 300-word answer.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>
      <c r="A22" s="4"/>
      <c r="B22" s="12">
        <v>7.0</v>
      </c>
      <c r="C22" s="13" t="s">
        <v>48</v>
      </c>
      <c r="D22" s="13" t="s">
        <v>43</v>
      </c>
      <c r="E22" s="13" t="s">
        <v>66</v>
      </c>
      <c r="F22" s="14" t="s">
        <v>49</v>
      </c>
      <c r="G22" s="13" t="s">
        <v>50</v>
      </c>
      <c r="H22" s="13" t="s">
        <v>51</v>
      </c>
      <c r="I22" s="14"/>
      <c r="J22" s="14"/>
      <c r="K22" s="15" t="str">
        <f t="shared" si="5"/>
        <v>Who are the key actors in the protests and uprisings started in Iran in December 2025, and what roles do they play? Give a 300-word answer.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>
      <c r="A23" s="4"/>
      <c r="B23" s="21">
        <v>7.0</v>
      </c>
      <c r="C23" s="13" t="s">
        <v>52</v>
      </c>
      <c r="D23" s="13" t="s">
        <v>43</v>
      </c>
      <c r="E23" s="22" t="s">
        <v>66</v>
      </c>
      <c r="F23" s="14" t="s">
        <v>53</v>
      </c>
      <c r="G23" s="13" t="s">
        <v>46</v>
      </c>
      <c r="H23" s="13" t="s">
        <v>54</v>
      </c>
      <c r="I23" s="14"/>
      <c r="J23" s="14"/>
      <c r="K23" s="15" t="str">
        <f t="shared" si="5"/>
        <v>Who are the key actors in the Askatasuna protests started in Italy in January 2026, and what roles do they play? Give a 300-word answer.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>
      <c r="A24" s="4"/>
      <c r="B24" s="16">
        <v>8.0</v>
      </c>
      <c r="C24" s="17" t="s">
        <v>42</v>
      </c>
      <c r="D24" s="17" t="s">
        <v>43</v>
      </c>
      <c r="E24" s="18" t="s">
        <v>67</v>
      </c>
      <c r="F24" s="19" t="s">
        <v>45</v>
      </c>
      <c r="G24" s="17" t="s">
        <v>46</v>
      </c>
      <c r="H24" s="17" t="s">
        <v>47</v>
      </c>
      <c r="I24" s="19"/>
      <c r="J24" s="19"/>
      <c r="K24" s="20" t="str">
        <f t="shared" si="5"/>
        <v>Generate three news headlines about the anti-ICE protests started in the United States in January 2026.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>
      <c r="A25" s="4"/>
      <c r="B25" s="12">
        <v>8.0</v>
      </c>
      <c r="C25" s="13" t="s">
        <v>48</v>
      </c>
      <c r="D25" s="13" t="s">
        <v>43</v>
      </c>
      <c r="E25" s="13" t="s">
        <v>67</v>
      </c>
      <c r="F25" s="14" t="s">
        <v>49</v>
      </c>
      <c r="G25" s="13" t="s">
        <v>50</v>
      </c>
      <c r="H25" s="13" t="s">
        <v>51</v>
      </c>
      <c r="I25" s="14"/>
      <c r="J25" s="14"/>
      <c r="K25" s="15" t="str">
        <f t="shared" si="5"/>
        <v>Generate three news headlines about the protests and uprisings started in Iran in December 2025.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>
      <c r="A26" s="4"/>
      <c r="B26" s="21">
        <v>8.0</v>
      </c>
      <c r="C26" s="13" t="s">
        <v>52</v>
      </c>
      <c r="D26" s="13" t="s">
        <v>43</v>
      </c>
      <c r="E26" s="22" t="s">
        <v>67</v>
      </c>
      <c r="F26" s="14" t="s">
        <v>53</v>
      </c>
      <c r="G26" s="13" t="s">
        <v>46</v>
      </c>
      <c r="H26" s="13" t="s">
        <v>54</v>
      </c>
      <c r="I26" s="14"/>
      <c r="J26" s="14"/>
      <c r="K26" s="15" t="str">
        <f t="shared" si="5"/>
        <v>Generate three news headlines about the Askatasuna protests started in Italy in January 2026.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>
      <c r="A27" s="4"/>
      <c r="B27" s="16">
        <v>9.0</v>
      </c>
      <c r="C27" s="17" t="s">
        <v>42</v>
      </c>
      <c r="D27" s="17" t="s">
        <v>43</v>
      </c>
      <c r="E27" s="23"/>
      <c r="F27" s="19"/>
      <c r="G27" s="19"/>
      <c r="H27" s="19"/>
      <c r="I27" s="19"/>
      <c r="J27" s="19"/>
      <c r="K27" s="20" t="s">
        <v>68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>
      <c r="A28" s="4"/>
      <c r="B28" s="12">
        <v>9.0</v>
      </c>
      <c r="C28" s="13" t="s">
        <v>48</v>
      </c>
      <c r="D28" s="13" t="s">
        <v>43</v>
      </c>
      <c r="E28" s="14"/>
      <c r="F28" s="14"/>
      <c r="G28" s="14"/>
      <c r="H28" s="14"/>
      <c r="I28" s="14"/>
      <c r="J28" s="14"/>
      <c r="K28" s="15" t="s">
        <v>69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>
      <c r="A29" s="4"/>
      <c r="B29" s="21">
        <v>9.0</v>
      </c>
      <c r="C29" s="13" t="s">
        <v>52</v>
      </c>
      <c r="D29" s="13" t="s">
        <v>43</v>
      </c>
      <c r="E29" s="24"/>
      <c r="F29" s="14"/>
      <c r="G29" s="14"/>
      <c r="H29" s="14"/>
      <c r="I29" s="14"/>
      <c r="J29" s="14"/>
      <c r="K29" s="15" t="s">
        <v>70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>
      <c r="A30" s="4"/>
      <c r="B30" s="16">
        <v>10.0</v>
      </c>
      <c r="C30" s="17" t="s">
        <v>42</v>
      </c>
      <c r="D30" s="17" t="s">
        <v>43</v>
      </c>
      <c r="E30" s="23"/>
      <c r="F30" s="19"/>
      <c r="G30" s="19"/>
      <c r="H30" s="19"/>
      <c r="I30" s="19"/>
      <c r="J30" s="19"/>
      <c r="K30" s="20" t="s">
        <v>71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>
      <c r="A31" s="4"/>
      <c r="B31" s="12">
        <v>10.0</v>
      </c>
      <c r="C31" s="13" t="s">
        <v>48</v>
      </c>
      <c r="D31" s="13" t="s">
        <v>43</v>
      </c>
      <c r="E31" s="14"/>
      <c r="F31" s="14"/>
      <c r="G31" s="14"/>
      <c r="H31" s="14"/>
      <c r="I31" s="14"/>
      <c r="J31" s="14"/>
      <c r="K31" s="15" t="s">
        <v>72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>
      <c r="A32" s="4"/>
      <c r="B32" s="25">
        <v>10.0</v>
      </c>
      <c r="C32" s="26" t="s">
        <v>52</v>
      </c>
      <c r="D32" s="26" t="s">
        <v>43</v>
      </c>
      <c r="E32" s="27"/>
      <c r="F32" s="28"/>
      <c r="G32" s="28"/>
      <c r="H32" s="28"/>
      <c r="I32" s="28"/>
      <c r="J32" s="28"/>
      <c r="K32" s="29" t="s">
        <v>73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3.0"/>
    <col customWidth="1" min="2" max="2" width="9.63"/>
    <col customWidth="1" min="3" max="3" width="9.5"/>
    <col customWidth="1" min="4" max="4" width="7.5"/>
    <col customWidth="1" min="5" max="5" width="7.63"/>
    <col customWidth="1" min="6" max="6" width="7.13"/>
    <col customWidth="1" min="7" max="7" width="19.25"/>
    <col customWidth="1" min="8" max="8" width="33.25"/>
    <col customWidth="1" min="9" max="9" width="8.38"/>
    <col customWidth="1" min="10" max="10" width="34.88"/>
    <col customWidth="1" min="11" max="11" width="5.75"/>
  </cols>
  <sheetData>
    <row r="1">
      <c r="A1" s="30"/>
      <c r="B1" s="30"/>
      <c r="C1" s="30"/>
      <c r="D1" s="30"/>
      <c r="E1" s="30"/>
      <c r="F1" s="30"/>
      <c r="G1" s="30"/>
      <c r="H1" s="30"/>
      <c r="I1" s="30"/>
      <c r="J1" s="31"/>
      <c r="K1" s="30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30"/>
      <c r="B2" s="33" t="s">
        <v>74</v>
      </c>
      <c r="C2" s="34" t="s">
        <v>75</v>
      </c>
      <c r="D2" s="34" t="s">
        <v>76</v>
      </c>
      <c r="E2" s="34" t="s">
        <v>77</v>
      </c>
      <c r="F2" s="34" t="s">
        <v>78</v>
      </c>
      <c r="G2" s="34" t="s">
        <v>79</v>
      </c>
      <c r="H2" s="35" t="s">
        <v>80</v>
      </c>
      <c r="I2" s="36"/>
      <c r="J2" s="36"/>
      <c r="K2" s="37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>
      <c r="A3" s="32"/>
      <c r="B3" s="38"/>
      <c r="C3" s="39"/>
      <c r="D3" s="39"/>
      <c r="E3" s="39"/>
      <c r="F3" s="39"/>
      <c r="G3" s="39"/>
      <c r="H3" s="40" t="s">
        <v>81</v>
      </c>
      <c r="I3" s="40" t="s">
        <v>82</v>
      </c>
      <c r="J3" s="40" t="s">
        <v>83</v>
      </c>
      <c r="K3" s="41" t="s">
        <v>84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>
      <c r="A4" s="30"/>
      <c r="B4" s="42" t="s">
        <v>85</v>
      </c>
      <c r="C4" s="43">
        <v>46106.0</v>
      </c>
      <c r="D4" s="44">
        <v>0.7319444444444444</v>
      </c>
      <c r="E4" s="30" t="s">
        <v>86</v>
      </c>
      <c r="F4" s="30" t="s">
        <v>87</v>
      </c>
      <c r="G4" s="30" t="s">
        <v>88</v>
      </c>
      <c r="H4" s="30" t="s">
        <v>2</v>
      </c>
      <c r="I4" s="30">
        <v>3.0</v>
      </c>
      <c r="J4" s="45" t="s">
        <v>89</v>
      </c>
      <c r="K4" s="46">
        <v>2.0</v>
      </c>
      <c r="L4" s="32"/>
      <c r="M4" s="32"/>
      <c r="N4" s="32"/>
      <c r="O4" s="30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>
      <c r="A5" s="30"/>
      <c r="B5" s="47"/>
      <c r="H5" s="48"/>
      <c r="I5" s="48"/>
      <c r="J5" s="49" t="s">
        <v>90</v>
      </c>
      <c r="K5" s="50">
        <v>1.0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>
      <c r="A6" s="30"/>
      <c r="B6" s="47"/>
      <c r="H6" s="51" t="s">
        <v>8</v>
      </c>
      <c r="I6" s="51">
        <v>1.0</v>
      </c>
      <c r="J6" s="52" t="s">
        <v>91</v>
      </c>
      <c r="K6" s="50">
        <v>1.0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>
      <c r="A7" s="30"/>
      <c r="B7" s="47"/>
      <c r="H7" s="51" t="s">
        <v>25</v>
      </c>
      <c r="I7" s="51">
        <v>1.0</v>
      </c>
      <c r="J7" s="52" t="s">
        <v>92</v>
      </c>
      <c r="K7" s="50">
        <v>1.0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>
      <c r="A8" s="30"/>
      <c r="B8" s="53"/>
      <c r="C8" s="54"/>
      <c r="D8" s="54"/>
      <c r="E8" s="54"/>
      <c r="F8" s="54"/>
      <c r="G8" s="54"/>
      <c r="H8" s="55" t="s">
        <v>5</v>
      </c>
      <c r="I8" s="55">
        <v>1.0</v>
      </c>
      <c r="J8" s="56" t="s">
        <v>93</v>
      </c>
      <c r="K8" s="57">
        <v>1.0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30"/>
      <c r="B9" s="42" t="s">
        <v>94</v>
      </c>
      <c r="C9" s="43">
        <v>46106.0</v>
      </c>
      <c r="D9" s="44">
        <v>0.7468171296296297</v>
      </c>
      <c r="E9" s="30" t="s">
        <v>86</v>
      </c>
      <c r="F9" s="30" t="s">
        <v>87</v>
      </c>
      <c r="G9" s="30" t="s">
        <v>88</v>
      </c>
      <c r="H9" s="30" t="s">
        <v>2</v>
      </c>
      <c r="I9" s="30">
        <v>4.0</v>
      </c>
      <c r="J9" s="45" t="s">
        <v>89</v>
      </c>
      <c r="K9" s="46">
        <v>2.0</v>
      </c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>
      <c r="A10" s="30"/>
      <c r="B10" s="47"/>
      <c r="J10" s="49" t="s">
        <v>90</v>
      </c>
      <c r="K10" s="50">
        <v>1.0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>
      <c r="A11" s="30" t="s">
        <v>95</v>
      </c>
      <c r="B11" s="47"/>
      <c r="H11" s="48"/>
      <c r="I11" s="48"/>
      <c r="J11" s="52" t="s">
        <v>96</v>
      </c>
      <c r="K11" s="50">
        <v>1.0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30"/>
      <c r="B12" s="47"/>
      <c r="H12" s="51" t="s">
        <v>25</v>
      </c>
      <c r="I12" s="51">
        <v>1.0</v>
      </c>
      <c r="J12" s="52" t="s">
        <v>92</v>
      </c>
      <c r="K12" s="50">
        <v>1.0</v>
      </c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>
      <c r="A13" s="30"/>
      <c r="B13" s="47"/>
      <c r="H13" s="51" t="s">
        <v>5</v>
      </c>
      <c r="I13" s="51">
        <v>1.0</v>
      </c>
      <c r="J13" s="52" t="s">
        <v>97</v>
      </c>
      <c r="K13" s="50">
        <v>1.0</v>
      </c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30"/>
      <c r="B14" s="53"/>
      <c r="C14" s="54"/>
      <c r="D14" s="54"/>
      <c r="E14" s="54"/>
      <c r="F14" s="54"/>
      <c r="G14" s="54"/>
      <c r="H14" s="58" t="s">
        <v>98</v>
      </c>
      <c r="I14" s="55">
        <v>1.0</v>
      </c>
      <c r="J14" s="56" t="s">
        <v>99</v>
      </c>
      <c r="K14" s="57">
        <v>1.0</v>
      </c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>
      <c r="A15" s="30"/>
      <c r="B15" s="59" t="s">
        <v>100</v>
      </c>
      <c r="C15" s="60">
        <v>46106.0</v>
      </c>
      <c r="D15" s="61">
        <v>0.7497569444444444</v>
      </c>
      <c r="E15" s="62" t="s">
        <v>86</v>
      </c>
      <c r="F15" s="62" t="s">
        <v>87</v>
      </c>
      <c r="G15" s="62" t="s">
        <v>88</v>
      </c>
      <c r="H15" s="63" t="s">
        <v>2</v>
      </c>
      <c r="I15" s="63">
        <v>3.0</v>
      </c>
      <c r="J15" s="64" t="s">
        <v>89</v>
      </c>
      <c r="K15" s="65">
        <v>3.0</v>
      </c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30"/>
      <c r="B16" s="53"/>
      <c r="C16" s="54"/>
      <c r="D16" s="54"/>
      <c r="E16" s="54"/>
      <c r="F16" s="54"/>
      <c r="G16" s="54"/>
      <c r="H16" s="55" t="s">
        <v>101</v>
      </c>
      <c r="I16" s="55">
        <v>1.0</v>
      </c>
      <c r="J16" s="56" t="s">
        <v>102</v>
      </c>
      <c r="K16" s="57">
        <v>1.0</v>
      </c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>
      <c r="A17" s="30"/>
      <c r="B17" s="59" t="s">
        <v>103</v>
      </c>
      <c r="C17" s="60">
        <v>46106.0</v>
      </c>
      <c r="D17" s="61">
        <v>0.7535879629629629</v>
      </c>
      <c r="E17" s="62" t="s">
        <v>86</v>
      </c>
      <c r="F17" s="62" t="s">
        <v>87</v>
      </c>
      <c r="G17" s="62" t="s">
        <v>88</v>
      </c>
      <c r="H17" s="62" t="s">
        <v>2</v>
      </c>
      <c r="I17" s="62">
        <v>3.0</v>
      </c>
      <c r="J17" s="64" t="s">
        <v>89</v>
      </c>
      <c r="K17" s="65">
        <v>1.0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>
      <c r="A18" s="30"/>
      <c r="B18" s="47"/>
      <c r="H18" s="48"/>
      <c r="I18" s="48"/>
      <c r="J18" s="52" t="s">
        <v>90</v>
      </c>
      <c r="K18" s="50">
        <v>2.0</v>
      </c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>
      <c r="A19" s="30"/>
      <c r="B19" s="47"/>
      <c r="H19" s="51" t="s">
        <v>8</v>
      </c>
      <c r="I19" s="51">
        <v>3.0</v>
      </c>
      <c r="J19" s="52" t="s">
        <v>91</v>
      </c>
      <c r="K19" s="50">
        <v>3.0</v>
      </c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>
      <c r="A20" s="30"/>
      <c r="B20" s="47"/>
      <c r="H20" s="51" t="s">
        <v>22</v>
      </c>
      <c r="I20" s="51">
        <v>1.0</v>
      </c>
      <c r="J20" s="52" t="s">
        <v>104</v>
      </c>
      <c r="K20" s="50">
        <v>1.0</v>
      </c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>
      <c r="A21" s="30"/>
      <c r="B21" s="47"/>
      <c r="H21" s="51" t="s">
        <v>25</v>
      </c>
      <c r="I21" s="51">
        <v>1.0</v>
      </c>
      <c r="J21" s="52" t="s">
        <v>92</v>
      </c>
      <c r="K21" s="50">
        <v>1.0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>
      <c r="A22" s="30"/>
      <c r="B22" s="53"/>
      <c r="C22" s="54"/>
      <c r="D22" s="54"/>
      <c r="E22" s="54"/>
      <c r="F22" s="54"/>
      <c r="G22" s="54"/>
      <c r="H22" s="55" t="s">
        <v>5</v>
      </c>
      <c r="I22" s="55">
        <v>1.0</v>
      </c>
      <c r="J22" s="56" t="s">
        <v>105</v>
      </c>
      <c r="K22" s="57">
        <v>1.0</v>
      </c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>
      <c r="A23" s="30"/>
      <c r="B23" s="59" t="s">
        <v>106</v>
      </c>
      <c r="C23" s="60">
        <v>46106.0</v>
      </c>
      <c r="D23" s="61">
        <v>0.7619097222222222</v>
      </c>
      <c r="E23" s="62" t="s">
        <v>86</v>
      </c>
      <c r="F23" s="62" t="s">
        <v>87</v>
      </c>
      <c r="G23" s="62" t="s">
        <v>88</v>
      </c>
      <c r="H23" s="62" t="s">
        <v>2</v>
      </c>
      <c r="I23" s="62">
        <v>2.0</v>
      </c>
      <c r="J23" s="64" t="s">
        <v>89</v>
      </c>
      <c r="K23" s="65">
        <v>1.0</v>
      </c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>
      <c r="A24" s="30"/>
      <c r="B24" s="47"/>
      <c r="H24" s="48"/>
      <c r="I24" s="48"/>
      <c r="J24" s="52" t="s">
        <v>90</v>
      </c>
      <c r="K24" s="50">
        <v>1.0</v>
      </c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>
      <c r="A25" s="30"/>
      <c r="B25" s="47"/>
      <c r="H25" s="51" t="s">
        <v>8</v>
      </c>
      <c r="I25" s="51">
        <v>2.0</v>
      </c>
      <c r="J25" s="52" t="s">
        <v>91</v>
      </c>
      <c r="K25" s="50">
        <v>2.0</v>
      </c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>
      <c r="A26" s="30"/>
      <c r="B26" s="47"/>
      <c r="H26" s="51" t="s">
        <v>5</v>
      </c>
      <c r="I26" s="51">
        <v>1.0</v>
      </c>
      <c r="J26" s="52" t="s">
        <v>93</v>
      </c>
      <c r="K26" s="50">
        <v>1.0</v>
      </c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>
      <c r="A27" s="30"/>
      <c r="B27" s="53"/>
      <c r="C27" s="54"/>
      <c r="D27" s="54"/>
      <c r="E27" s="54"/>
      <c r="F27" s="54"/>
      <c r="G27" s="54"/>
      <c r="H27" s="55" t="s">
        <v>25</v>
      </c>
      <c r="I27" s="55">
        <v>1.0</v>
      </c>
      <c r="J27" s="56" t="s">
        <v>92</v>
      </c>
      <c r="K27" s="57">
        <v>1.0</v>
      </c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>
      <c r="A28" s="30"/>
      <c r="B28" s="59" t="s">
        <v>107</v>
      </c>
      <c r="C28" s="60">
        <v>46106.0</v>
      </c>
      <c r="D28" s="61">
        <v>0.7643865740740741</v>
      </c>
      <c r="E28" s="62" t="s">
        <v>86</v>
      </c>
      <c r="F28" s="62" t="s">
        <v>87</v>
      </c>
      <c r="G28" s="62" t="s">
        <v>88</v>
      </c>
      <c r="H28" s="62" t="s">
        <v>2</v>
      </c>
      <c r="I28" s="62">
        <v>4.0</v>
      </c>
      <c r="J28" s="64" t="s">
        <v>89</v>
      </c>
      <c r="K28" s="65">
        <v>1.0</v>
      </c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>
      <c r="A29" s="30"/>
      <c r="B29" s="47"/>
      <c r="J29" s="49" t="s">
        <v>90</v>
      </c>
      <c r="K29" s="50">
        <v>2.0</v>
      </c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>
      <c r="A30" s="30"/>
      <c r="B30" s="47"/>
      <c r="H30" s="48"/>
      <c r="I30" s="48"/>
      <c r="J30" s="52" t="s">
        <v>96</v>
      </c>
      <c r="K30" s="50">
        <v>1.0</v>
      </c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>
      <c r="A31" s="30"/>
      <c r="B31" s="47"/>
      <c r="H31" s="51" t="s">
        <v>108</v>
      </c>
      <c r="I31" s="51">
        <v>1.0</v>
      </c>
      <c r="J31" s="52" t="s">
        <v>109</v>
      </c>
      <c r="K31" s="50">
        <v>1.0</v>
      </c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>
      <c r="A32" s="30"/>
      <c r="B32" s="53"/>
      <c r="C32" s="54"/>
      <c r="D32" s="54"/>
      <c r="E32" s="54"/>
      <c r="F32" s="54"/>
      <c r="G32" s="54"/>
      <c r="H32" s="55" t="s">
        <v>5</v>
      </c>
      <c r="I32" s="55">
        <v>1.0</v>
      </c>
      <c r="J32" s="56" t="s">
        <v>93</v>
      </c>
      <c r="K32" s="57">
        <v>1.0</v>
      </c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>
      <c r="A33" s="30"/>
      <c r="B33" s="59" t="s">
        <v>110</v>
      </c>
      <c r="C33" s="60">
        <v>46106.0</v>
      </c>
      <c r="D33" s="61">
        <v>0.7663078703703704</v>
      </c>
      <c r="E33" s="62" t="s">
        <v>86</v>
      </c>
      <c r="F33" s="62" t="s">
        <v>87</v>
      </c>
      <c r="G33" s="62" t="s">
        <v>88</v>
      </c>
      <c r="H33" s="63" t="s">
        <v>2</v>
      </c>
      <c r="I33" s="63">
        <v>6.0</v>
      </c>
      <c r="J33" s="64" t="s">
        <v>90</v>
      </c>
      <c r="K33" s="65">
        <v>6.0</v>
      </c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>
      <c r="A34" s="30"/>
      <c r="B34" s="47"/>
      <c r="H34" s="66" t="s">
        <v>5</v>
      </c>
      <c r="I34" s="66">
        <v>2.0</v>
      </c>
      <c r="J34" s="52" t="s">
        <v>93</v>
      </c>
      <c r="K34" s="50">
        <v>1.0</v>
      </c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>
      <c r="A35" s="30"/>
      <c r="B35" s="53"/>
      <c r="C35" s="54"/>
      <c r="D35" s="54"/>
      <c r="E35" s="54"/>
      <c r="F35" s="54"/>
      <c r="G35" s="54"/>
      <c r="H35" s="54"/>
      <c r="I35" s="54"/>
      <c r="J35" s="56" t="s">
        <v>111</v>
      </c>
      <c r="K35" s="57">
        <v>1.0</v>
      </c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>
      <c r="A36" s="30"/>
      <c r="B36" s="67" t="s">
        <v>112</v>
      </c>
      <c r="C36" s="68">
        <v>46106.0</v>
      </c>
      <c r="D36" s="69">
        <v>0.7686226851851852</v>
      </c>
      <c r="E36" s="70" t="s">
        <v>86</v>
      </c>
      <c r="F36" s="70" t="s">
        <v>87</v>
      </c>
      <c r="G36" s="70" t="s">
        <v>88</v>
      </c>
      <c r="H36" s="70" t="s">
        <v>16</v>
      </c>
      <c r="I36" s="70" t="s">
        <v>113</v>
      </c>
      <c r="J36" s="71" t="s">
        <v>16</v>
      </c>
      <c r="K36" s="72" t="s">
        <v>16</v>
      </c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30"/>
      <c r="B37" s="59" t="s">
        <v>114</v>
      </c>
      <c r="C37" s="60">
        <v>46106.0</v>
      </c>
      <c r="D37" s="61">
        <v>0.7692245370370371</v>
      </c>
      <c r="E37" s="62" t="s">
        <v>86</v>
      </c>
      <c r="F37" s="62" t="s">
        <v>87</v>
      </c>
      <c r="G37" s="62" t="s">
        <v>88</v>
      </c>
      <c r="H37" s="63" t="s">
        <v>3</v>
      </c>
      <c r="I37" s="63">
        <v>2.0</v>
      </c>
      <c r="J37" s="64" t="s">
        <v>115</v>
      </c>
      <c r="K37" s="65">
        <v>2.0</v>
      </c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>
      <c r="A38" s="30"/>
      <c r="B38" s="47"/>
      <c r="H38" s="51" t="s">
        <v>2</v>
      </c>
      <c r="I38" s="51">
        <v>1.0</v>
      </c>
      <c r="J38" s="52" t="s">
        <v>89</v>
      </c>
      <c r="K38" s="50">
        <v>1.0</v>
      </c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>
      <c r="A39" s="30"/>
      <c r="B39" s="47"/>
      <c r="H39" s="51" t="s">
        <v>116</v>
      </c>
      <c r="I39" s="51">
        <v>1.0</v>
      </c>
      <c r="J39" s="52" t="s">
        <v>117</v>
      </c>
      <c r="K39" s="50">
        <v>1.0</v>
      </c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>
      <c r="A40" s="30"/>
      <c r="B40" s="53"/>
      <c r="C40" s="54"/>
      <c r="D40" s="54"/>
      <c r="E40" s="54"/>
      <c r="F40" s="54"/>
      <c r="G40" s="54"/>
      <c r="H40" s="55" t="s">
        <v>5</v>
      </c>
      <c r="I40" s="55">
        <v>1.0</v>
      </c>
      <c r="J40" s="56" t="s">
        <v>111</v>
      </c>
      <c r="K40" s="57">
        <v>1.0</v>
      </c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>
      <c r="A41" s="30"/>
      <c r="B41" s="59" t="s">
        <v>118</v>
      </c>
      <c r="C41" s="60">
        <v>46106.0</v>
      </c>
      <c r="D41" s="61">
        <v>0.7715625</v>
      </c>
      <c r="E41" s="62" t="s">
        <v>86</v>
      </c>
      <c r="F41" s="62" t="s">
        <v>87</v>
      </c>
      <c r="G41" s="62" t="s">
        <v>88</v>
      </c>
      <c r="H41" s="63" t="s">
        <v>2</v>
      </c>
      <c r="I41" s="63">
        <v>1.0</v>
      </c>
      <c r="J41" s="64" t="s">
        <v>89</v>
      </c>
      <c r="K41" s="65">
        <v>1.0</v>
      </c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>
      <c r="A42" s="30"/>
      <c r="B42" s="47"/>
      <c r="H42" s="73" t="s">
        <v>119</v>
      </c>
      <c r="I42" s="51">
        <v>1.0</v>
      </c>
      <c r="J42" s="52" t="s">
        <v>120</v>
      </c>
      <c r="K42" s="50">
        <v>1.0</v>
      </c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>
      <c r="A43" s="30"/>
      <c r="B43" s="47"/>
      <c r="H43" s="51" t="s">
        <v>5</v>
      </c>
      <c r="I43" s="51">
        <v>1.0</v>
      </c>
      <c r="J43" s="52" t="s">
        <v>105</v>
      </c>
      <c r="K43" s="50">
        <v>1.0</v>
      </c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>
      <c r="A44" s="30"/>
      <c r="B44" s="53"/>
      <c r="C44" s="54"/>
      <c r="D44" s="54"/>
      <c r="E44" s="54"/>
      <c r="F44" s="54"/>
      <c r="G44" s="54"/>
      <c r="H44" s="55" t="s">
        <v>121</v>
      </c>
      <c r="I44" s="55">
        <v>1.0</v>
      </c>
      <c r="J44" s="56" t="s">
        <v>122</v>
      </c>
      <c r="K44" s="57">
        <v>1.0</v>
      </c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>
      <c r="A45" s="30"/>
      <c r="B45" s="59" t="s">
        <v>123</v>
      </c>
      <c r="C45" s="60">
        <v>46107.0</v>
      </c>
      <c r="D45" s="61">
        <v>0.7575462962962963</v>
      </c>
      <c r="E45" s="62" t="s">
        <v>86</v>
      </c>
      <c r="F45" s="62" t="s">
        <v>87</v>
      </c>
      <c r="G45" s="62" t="s">
        <v>88</v>
      </c>
      <c r="H45" s="63" t="s">
        <v>23</v>
      </c>
      <c r="I45" s="63">
        <v>2.0</v>
      </c>
      <c r="J45" s="64" t="s">
        <v>124</v>
      </c>
      <c r="K45" s="65">
        <v>2.0</v>
      </c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>
      <c r="A46" s="30"/>
      <c r="B46" s="47"/>
      <c r="H46" s="51" t="s">
        <v>30</v>
      </c>
      <c r="I46" s="51">
        <v>5.0</v>
      </c>
      <c r="J46" s="52" t="s">
        <v>125</v>
      </c>
      <c r="K46" s="50">
        <v>5.0</v>
      </c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>
      <c r="A47" s="30"/>
      <c r="B47" s="47"/>
      <c r="H47" s="66" t="s">
        <v>2</v>
      </c>
      <c r="I47" s="66">
        <v>5.0</v>
      </c>
      <c r="J47" s="52" t="s">
        <v>126</v>
      </c>
      <c r="K47" s="50">
        <v>4.0</v>
      </c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>
      <c r="A48" s="30"/>
      <c r="B48" s="47"/>
      <c r="H48" s="48"/>
      <c r="I48" s="48"/>
      <c r="J48" s="52" t="s">
        <v>127</v>
      </c>
      <c r="K48" s="50">
        <v>1.0</v>
      </c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>
      <c r="A49" s="30"/>
      <c r="B49" s="53"/>
      <c r="C49" s="54"/>
      <c r="D49" s="54"/>
      <c r="E49" s="54"/>
      <c r="F49" s="54"/>
      <c r="G49" s="54"/>
      <c r="H49" s="55" t="s">
        <v>128</v>
      </c>
      <c r="I49" s="55">
        <v>1.0</v>
      </c>
      <c r="J49" s="56" t="s">
        <v>129</v>
      </c>
      <c r="K49" s="57">
        <v>1.0</v>
      </c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>
      <c r="A50" s="30"/>
      <c r="B50" s="59" t="s">
        <v>130</v>
      </c>
      <c r="C50" s="60">
        <v>46107.0</v>
      </c>
      <c r="D50" s="61">
        <v>0.7608217592592592</v>
      </c>
      <c r="E50" s="62" t="s">
        <v>86</v>
      </c>
      <c r="F50" s="62" t="s">
        <v>87</v>
      </c>
      <c r="G50" s="62" t="s">
        <v>88</v>
      </c>
      <c r="H50" s="63" t="s">
        <v>30</v>
      </c>
      <c r="I50" s="63">
        <v>3.0</v>
      </c>
      <c r="J50" s="64" t="s">
        <v>125</v>
      </c>
      <c r="K50" s="65">
        <v>3.0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>
      <c r="A51" s="30"/>
      <c r="B51" s="47"/>
      <c r="H51" s="51" t="s">
        <v>128</v>
      </c>
      <c r="I51" s="51">
        <v>1.0</v>
      </c>
      <c r="J51" s="52" t="s">
        <v>129</v>
      </c>
      <c r="K51" s="50">
        <v>1.0</v>
      </c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>
      <c r="A52" s="30"/>
      <c r="B52" s="47"/>
      <c r="H52" s="51" t="s">
        <v>2</v>
      </c>
      <c r="I52" s="51">
        <v>1.0</v>
      </c>
      <c r="J52" s="52" t="s">
        <v>126</v>
      </c>
      <c r="K52" s="50">
        <v>1.0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>
      <c r="A53" s="30"/>
      <c r="B53" s="47"/>
      <c r="H53" s="51" t="s">
        <v>8</v>
      </c>
      <c r="I53" s="51">
        <v>1.0</v>
      </c>
      <c r="J53" s="52" t="s">
        <v>131</v>
      </c>
      <c r="K53" s="50">
        <v>1.0</v>
      </c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>
      <c r="A54" s="30"/>
      <c r="B54" s="53"/>
      <c r="C54" s="54"/>
      <c r="D54" s="54"/>
      <c r="E54" s="54"/>
      <c r="F54" s="54"/>
      <c r="G54" s="54"/>
      <c r="H54" s="55" t="s">
        <v>28</v>
      </c>
      <c r="I54" s="55">
        <v>1.0</v>
      </c>
      <c r="J54" s="56" t="s">
        <v>132</v>
      </c>
      <c r="K54" s="57">
        <v>1.0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>
      <c r="A55" s="30"/>
      <c r="B55" s="59" t="s">
        <v>133</v>
      </c>
      <c r="C55" s="60">
        <v>46107.0</v>
      </c>
      <c r="D55" s="61">
        <v>0.770462962962963</v>
      </c>
      <c r="E55" s="62" t="s">
        <v>86</v>
      </c>
      <c r="F55" s="62" t="s">
        <v>87</v>
      </c>
      <c r="G55" s="62" t="s">
        <v>88</v>
      </c>
      <c r="H55" s="63" t="s">
        <v>30</v>
      </c>
      <c r="I55" s="63">
        <v>3.0</v>
      </c>
      <c r="J55" s="64" t="s">
        <v>125</v>
      </c>
      <c r="K55" s="65">
        <v>3.0</v>
      </c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>
      <c r="A56" s="30"/>
      <c r="B56" s="47"/>
      <c r="H56" s="51" t="s">
        <v>134</v>
      </c>
      <c r="I56" s="51">
        <v>1.0</v>
      </c>
      <c r="J56" s="52" t="s">
        <v>135</v>
      </c>
      <c r="K56" s="50">
        <v>1.0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>
      <c r="A57" s="30"/>
      <c r="B57" s="47"/>
      <c r="H57" s="51" t="s">
        <v>22</v>
      </c>
      <c r="I57" s="51">
        <v>1.0</v>
      </c>
      <c r="J57" s="52" t="s">
        <v>136</v>
      </c>
      <c r="K57" s="50">
        <v>1.0</v>
      </c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>
      <c r="A58" s="30"/>
      <c r="B58" s="53"/>
      <c r="C58" s="54"/>
      <c r="D58" s="54"/>
      <c r="E58" s="54"/>
      <c r="F58" s="54"/>
      <c r="G58" s="54"/>
      <c r="H58" s="55" t="s">
        <v>2</v>
      </c>
      <c r="I58" s="55">
        <v>1.0</v>
      </c>
      <c r="J58" s="56" t="s">
        <v>126</v>
      </c>
      <c r="K58" s="57">
        <v>1.0</v>
      </c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>
      <c r="A59" s="30"/>
      <c r="B59" s="59" t="s">
        <v>137</v>
      </c>
      <c r="C59" s="60">
        <v>46107.0</v>
      </c>
      <c r="D59" s="61">
        <v>0.7731365740740741</v>
      </c>
      <c r="E59" s="62" t="s">
        <v>86</v>
      </c>
      <c r="F59" s="62" t="s">
        <v>87</v>
      </c>
      <c r="G59" s="62" t="s">
        <v>88</v>
      </c>
      <c r="H59" s="63" t="s">
        <v>30</v>
      </c>
      <c r="I59" s="63">
        <v>3.0</v>
      </c>
      <c r="J59" s="64" t="s">
        <v>125</v>
      </c>
      <c r="K59" s="65">
        <v>3.0</v>
      </c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>
      <c r="A60" s="30"/>
      <c r="B60" s="47"/>
      <c r="H60" s="51" t="s">
        <v>19</v>
      </c>
      <c r="I60" s="51">
        <v>1.0</v>
      </c>
      <c r="J60" s="52" t="s">
        <v>138</v>
      </c>
      <c r="K60" s="50">
        <v>1.0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>
      <c r="A61" s="30"/>
      <c r="B61" s="47"/>
      <c r="H61" s="51" t="s">
        <v>23</v>
      </c>
      <c r="I61" s="51">
        <v>1.0</v>
      </c>
      <c r="J61" s="52" t="s">
        <v>124</v>
      </c>
      <c r="K61" s="50">
        <v>1.0</v>
      </c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>
      <c r="A62" s="30"/>
      <c r="B62" s="47"/>
      <c r="H62" s="51" t="s">
        <v>8</v>
      </c>
      <c r="I62" s="51">
        <v>1.0</v>
      </c>
      <c r="J62" s="49" t="s">
        <v>131</v>
      </c>
      <c r="K62" s="50">
        <v>1.0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>
      <c r="A63" s="30"/>
      <c r="B63" s="53"/>
      <c r="C63" s="54"/>
      <c r="D63" s="54"/>
      <c r="E63" s="54"/>
      <c r="F63" s="54"/>
      <c r="G63" s="54"/>
      <c r="H63" s="55" t="s">
        <v>139</v>
      </c>
      <c r="I63" s="55">
        <v>1.0</v>
      </c>
      <c r="J63" s="56" t="s">
        <v>132</v>
      </c>
      <c r="K63" s="57">
        <v>1.0</v>
      </c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>
      <c r="A64" s="30"/>
      <c r="B64" s="59" t="s">
        <v>140</v>
      </c>
      <c r="C64" s="60">
        <v>46107.0</v>
      </c>
      <c r="D64" s="61">
        <v>0.7756944444444445</v>
      </c>
      <c r="E64" s="62" t="s">
        <v>86</v>
      </c>
      <c r="F64" s="62" t="s">
        <v>87</v>
      </c>
      <c r="G64" s="62" t="s">
        <v>88</v>
      </c>
      <c r="H64" s="63" t="s">
        <v>8</v>
      </c>
      <c r="I64" s="63">
        <v>1.0</v>
      </c>
      <c r="J64" s="64" t="s">
        <v>131</v>
      </c>
      <c r="K64" s="65">
        <v>1.0</v>
      </c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>
      <c r="A65" s="30"/>
      <c r="B65" s="53"/>
      <c r="C65" s="54"/>
      <c r="D65" s="54"/>
      <c r="E65" s="54"/>
      <c r="F65" s="54"/>
      <c r="G65" s="54"/>
      <c r="H65" s="55" t="s">
        <v>5</v>
      </c>
      <c r="I65" s="55">
        <v>1.0</v>
      </c>
      <c r="J65" s="56" t="s">
        <v>141</v>
      </c>
      <c r="K65" s="57">
        <v>1.0</v>
      </c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>
      <c r="A66" s="30"/>
      <c r="B66" s="59" t="s">
        <v>142</v>
      </c>
      <c r="C66" s="60">
        <v>46107.0</v>
      </c>
      <c r="D66" s="61">
        <v>0.7768981481481482</v>
      </c>
      <c r="E66" s="62" t="s">
        <v>86</v>
      </c>
      <c r="F66" s="62" t="s">
        <v>87</v>
      </c>
      <c r="G66" s="62" t="s">
        <v>88</v>
      </c>
      <c r="H66" s="63" t="s">
        <v>2</v>
      </c>
      <c r="I66" s="63">
        <v>3.0</v>
      </c>
      <c r="J66" s="64" t="s">
        <v>127</v>
      </c>
      <c r="K66" s="65">
        <v>3.0</v>
      </c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>
      <c r="A67" s="30"/>
      <c r="B67" s="47"/>
      <c r="H67" s="51" t="s">
        <v>143</v>
      </c>
      <c r="I67" s="51">
        <v>2.0</v>
      </c>
      <c r="J67" s="52" t="s">
        <v>144</v>
      </c>
      <c r="K67" s="50">
        <v>2.0</v>
      </c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>
      <c r="A68" s="30"/>
      <c r="B68" s="47"/>
      <c r="H68" s="51" t="s">
        <v>23</v>
      </c>
      <c r="I68" s="51">
        <v>2.0</v>
      </c>
      <c r="J68" s="52" t="s">
        <v>124</v>
      </c>
      <c r="K68" s="50">
        <v>2.0</v>
      </c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>
      <c r="A69" s="30"/>
      <c r="B69" s="53"/>
      <c r="C69" s="54"/>
      <c r="D69" s="54"/>
      <c r="E69" s="54"/>
      <c r="F69" s="54"/>
      <c r="G69" s="54"/>
      <c r="H69" s="55" t="s">
        <v>30</v>
      </c>
      <c r="I69" s="55">
        <v>2.0</v>
      </c>
      <c r="J69" s="56" t="s">
        <v>125</v>
      </c>
      <c r="K69" s="57">
        <v>2.0</v>
      </c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>
      <c r="A70" s="30"/>
      <c r="B70" s="59" t="s">
        <v>145</v>
      </c>
      <c r="C70" s="60">
        <v>46107.0</v>
      </c>
      <c r="D70" s="61">
        <v>0.7795023148148148</v>
      </c>
      <c r="E70" s="62" t="s">
        <v>86</v>
      </c>
      <c r="F70" s="62" t="s">
        <v>87</v>
      </c>
      <c r="G70" s="62" t="s">
        <v>88</v>
      </c>
      <c r="H70" s="63" t="s">
        <v>19</v>
      </c>
      <c r="I70" s="63">
        <v>1.0</v>
      </c>
      <c r="J70" s="64" t="s">
        <v>138</v>
      </c>
      <c r="K70" s="65">
        <v>1.0</v>
      </c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>
      <c r="A71" s="30"/>
      <c r="B71" s="47"/>
      <c r="H71" s="51" t="s">
        <v>146</v>
      </c>
      <c r="I71" s="51">
        <v>1.0</v>
      </c>
      <c r="J71" s="52" t="s">
        <v>147</v>
      </c>
      <c r="K71" s="50">
        <v>1.0</v>
      </c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>
      <c r="A72" s="30"/>
      <c r="B72" s="47"/>
      <c r="H72" s="66" t="s">
        <v>2</v>
      </c>
      <c r="I72" s="66">
        <v>2.0</v>
      </c>
      <c r="J72" s="52" t="s">
        <v>148</v>
      </c>
      <c r="K72" s="50">
        <v>1.0</v>
      </c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>
      <c r="A73" s="30"/>
      <c r="B73" s="47"/>
      <c r="H73" s="48"/>
      <c r="I73" s="48"/>
      <c r="J73" s="52" t="s">
        <v>126</v>
      </c>
      <c r="K73" s="50">
        <v>1.0</v>
      </c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>
      <c r="A74" s="30"/>
      <c r="B74" s="53"/>
      <c r="C74" s="54"/>
      <c r="D74" s="54"/>
      <c r="E74" s="54"/>
      <c r="F74" s="54"/>
      <c r="G74" s="54"/>
      <c r="H74" s="55" t="s">
        <v>30</v>
      </c>
      <c r="I74" s="55">
        <v>1.0</v>
      </c>
      <c r="J74" s="56" t="s">
        <v>125</v>
      </c>
      <c r="K74" s="57">
        <v>1.0</v>
      </c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>
      <c r="A75" s="30"/>
      <c r="B75" s="59" t="s">
        <v>149</v>
      </c>
      <c r="C75" s="60">
        <v>46107.0</v>
      </c>
      <c r="D75" s="61">
        <v>0.7815509259259259</v>
      </c>
      <c r="E75" s="62" t="s">
        <v>86</v>
      </c>
      <c r="F75" s="62" t="s">
        <v>87</v>
      </c>
      <c r="G75" s="62" t="s">
        <v>88</v>
      </c>
      <c r="H75" s="63" t="s">
        <v>19</v>
      </c>
      <c r="I75" s="63">
        <v>1.0</v>
      </c>
      <c r="J75" s="64" t="s">
        <v>138</v>
      </c>
      <c r="K75" s="65">
        <v>1.0</v>
      </c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>
      <c r="A76" s="30"/>
      <c r="B76" s="47"/>
      <c r="H76" s="51" t="s">
        <v>150</v>
      </c>
      <c r="I76" s="51">
        <v>1.0</v>
      </c>
      <c r="J76" s="52" t="s">
        <v>151</v>
      </c>
      <c r="K76" s="50">
        <v>1.0</v>
      </c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>
      <c r="A77" s="30"/>
      <c r="B77" s="47"/>
      <c r="H77" s="51" t="s">
        <v>8</v>
      </c>
      <c r="I77" s="51">
        <v>1.0</v>
      </c>
      <c r="J77" s="52" t="s">
        <v>131</v>
      </c>
      <c r="K77" s="50">
        <v>1.0</v>
      </c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>
      <c r="A78" s="30"/>
      <c r="B78" s="47"/>
      <c r="H78" s="51" t="s">
        <v>3</v>
      </c>
      <c r="I78" s="51">
        <v>1.0</v>
      </c>
      <c r="J78" s="52" t="s">
        <v>152</v>
      </c>
      <c r="K78" s="50">
        <v>1.0</v>
      </c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>
      <c r="A79" s="30"/>
      <c r="B79" s="47"/>
      <c r="H79" s="51" t="s">
        <v>153</v>
      </c>
      <c r="I79" s="51">
        <v>1.0</v>
      </c>
      <c r="J79" s="52" t="s">
        <v>154</v>
      </c>
      <c r="K79" s="50">
        <v>1.0</v>
      </c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>
      <c r="A80" s="30"/>
      <c r="B80" s="53"/>
      <c r="C80" s="54"/>
      <c r="D80" s="54"/>
      <c r="E80" s="54"/>
      <c r="F80" s="54"/>
      <c r="G80" s="54"/>
      <c r="H80" s="55" t="s">
        <v>128</v>
      </c>
      <c r="I80" s="55">
        <v>1.0</v>
      </c>
      <c r="J80" s="56" t="s">
        <v>129</v>
      </c>
      <c r="K80" s="57">
        <v>1.0</v>
      </c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>
      <c r="A81" s="30"/>
      <c r="B81" s="59" t="s">
        <v>155</v>
      </c>
      <c r="C81" s="60">
        <v>46108.0</v>
      </c>
      <c r="D81" s="61">
        <v>0.6348032407407408</v>
      </c>
      <c r="E81" s="62" t="s">
        <v>86</v>
      </c>
      <c r="F81" s="62" t="s">
        <v>87</v>
      </c>
      <c r="G81" s="62" t="s">
        <v>88</v>
      </c>
      <c r="H81" s="63" t="s">
        <v>19</v>
      </c>
      <c r="I81" s="63">
        <v>1.0</v>
      </c>
      <c r="J81" s="64" t="s">
        <v>138</v>
      </c>
      <c r="K81" s="65">
        <v>1.0</v>
      </c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>
      <c r="A82" s="30"/>
      <c r="B82" s="47"/>
      <c r="H82" s="51" t="s">
        <v>22</v>
      </c>
      <c r="I82" s="51">
        <v>1.0</v>
      </c>
      <c r="J82" s="52" t="s">
        <v>136</v>
      </c>
      <c r="K82" s="50">
        <v>1.0</v>
      </c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>
      <c r="A83" s="30"/>
      <c r="B83" s="47"/>
      <c r="H83" s="51" t="s">
        <v>156</v>
      </c>
      <c r="I83" s="51">
        <v>1.0</v>
      </c>
      <c r="J83" s="52" t="s">
        <v>157</v>
      </c>
      <c r="K83" s="50">
        <v>1.0</v>
      </c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>
      <c r="A84" s="30"/>
      <c r="B84" s="53"/>
      <c r="C84" s="54"/>
      <c r="D84" s="54"/>
      <c r="E84" s="54"/>
      <c r="F84" s="54"/>
      <c r="G84" s="54"/>
      <c r="H84" s="55" t="s">
        <v>30</v>
      </c>
      <c r="I84" s="55">
        <v>1.0</v>
      </c>
      <c r="J84" s="56" t="s">
        <v>125</v>
      </c>
      <c r="K84" s="57">
        <v>1.0</v>
      </c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>
      <c r="A85" s="30"/>
      <c r="B85" s="59" t="s">
        <v>158</v>
      </c>
      <c r="C85" s="60">
        <v>46108.0</v>
      </c>
      <c r="D85" s="61">
        <v>0.6365393518518518</v>
      </c>
      <c r="E85" s="62" t="s">
        <v>86</v>
      </c>
      <c r="F85" s="62" t="s">
        <v>87</v>
      </c>
      <c r="G85" s="62" t="s">
        <v>88</v>
      </c>
      <c r="H85" s="62" t="s">
        <v>30</v>
      </c>
      <c r="I85" s="62">
        <v>3.0</v>
      </c>
      <c r="J85" s="64" t="s">
        <v>125</v>
      </c>
      <c r="K85" s="65">
        <v>1.0</v>
      </c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>
      <c r="A86" s="30"/>
      <c r="B86" s="47"/>
      <c r="J86" s="52" t="s">
        <v>159</v>
      </c>
      <c r="K86" s="50">
        <v>2.0</v>
      </c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>
      <c r="A87" s="30"/>
      <c r="B87" s="47"/>
      <c r="H87" s="48"/>
      <c r="I87" s="48"/>
      <c r="J87" s="52" t="s">
        <v>160</v>
      </c>
      <c r="K87" s="50">
        <v>1.0</v>
      </c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>
      <c r="A88" s="30"/>
      <c r="B88" s="47"/>
      <c r="H88" s="51" t="s">
        <v>23</v>
      </c>
      <c r="I88" s="51">
        <v>1.0</v>
      </c>
      <c r="J88" s="52" t="s">
        <v>124</v>
      </c>
      <c r="K88" s="50">
        <v>1.0</v>
      </c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>
      <c r="A89" s="30"/>
      <c r="B89" s="47"/>
      <c r="H89" s="51" t="s">
        <v>3</v>
      </c>
      <c r="I89" s="51">
        <v>1.0</v>
      </c>
      <c r="J89" s="52" t="s">
        <v>152</v>
      </c>
      <c r="K89" s="50">
        <v>1.0</v>
      </c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>
      <c r="A90" s="30"/>
      <c r="B90" s="53"/>
      <c r="C90" s="54"/>
      <c r="D90" s="54"/>
      <c r="E90" s="54"/>
      <c r="F90" s="54"/>
      <c r="G90" s="54"/>
      <c r="H90" s="55" t="s">
        <v>28</v>
      </c>
      <c r="I90" s="55">
        <v>1.0</v>
      </c>
      <c r="J90" s="56" t="s">
        <v>132</v>
      </c>
      <c r="K90" s="57">
        <v>1.0</v>
      </c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>
      <c r="A91" s="30"/>
      <c r="B91" s="59" t="s">
        <v>161</v>
      </c>
      <c r="C91" s="60">
        <v>46108.0</v>
      </c>
      <c r="D91" s="61">
        <v>0.6393518518518518</v>
      </c>
      <c r="E91" s="62" t="s">
        <v>86</v>
      </c>
      <c r="F91" s="62" t="s">
        <v>87</v>
      </c>
      <c r="G91" s="62" t="s">
        <v>88</v>
      </c>
      <c r="H91" s="63" t="s">
        <v>2</v>
      </c>
      <c r="I91" s="63">
        <v>4.0</v>
      </c>
      <c r="J91" s="64" t="s">
        <v>162</v>
      </c>
      <c r="K91" s="65">
        <v>4.0</v>
      </c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>
      <c r="A92" s="30"/>
      <c r="B92" s="47"/>
      <c r="H92" s="74" t="s">
        <v>163</v>
      </c>
      <c r="I92" s="51">
        <v>2.0</v>
      </c>
      <c r="J92" s="49" t="s">
        <v>164</v>
      </c>
      <c r="K92" s="50">
        <v>2.0</v>
      </c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>
      <c r="A93" s="30"/>
      <c r="B93" s="47"/>
      <c r="H93" s="51" t="s">
        <v>11</v>
      </c>
      <c r="I93" s="51">
        <v>2.0</v>
      </c>
      <c r="J93" s="52" t="s">
        <v>165</v>
      </c>
      <c r="K93" s="50">
        <v>2.0</v>
      </c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>
      <c r="A94" s="30"/>
      <c r="B94" s="53"/>
      <c r="C94" s="54"/>
      <c r="D94" s="54"/>
      <c r="E94" s="54"/>
      <c r="F94" s="54"/>
      <c r="G94" s="54"/>
      <c r="H94" s="55" t="s">
        <v>22</v>
      </c>
      <c r="I94" s="55">
        <v>2.0</v>
      </c>
      <c r="J94" s="56" t="s">
        <v>166</v>
      </c>
      <c r="K94" s="57">
        <v>2.0</v>
      </c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>
      <c r="A95" s="30"/>
      <c r="B95" s="59" t="s">
        <v>167</v>
      </c>
      <c r="C95" s="60">
        <v>46108.0</v>
      </c>
      <c r="D95" s="61">
        <v>0.6431712962962963</v>
      </c>
      <c r="E95" s="62" t="s">
        <v>86</v>
      </c>
      <c r="F95" s="62" t="s">
        <v>87</v>
      </c>
      <c r="G95" s="62" t="s">
        <v>88</v>
      </c>
      <c r="H95" s="63" t="s">
        <v>17</v>
      </c>
      <c r="I95" s="63">
        <v>4.0</v>
      </c>
      <c r="J95" s="75" t="s">
        <v>164</v>
      </c>
      <c r="K95" s="65">
        <v>4.0</v>
      </c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>
      <c r="A96" s="30"/>
      <c r="B96" s="47"/>
      <c r="H96" s="74" t="s">
        <v>11</v>
      </c>
      <c r="I96" s="51">
        <v>2.0</v>
      </c>
      <c r="J96" s="52" t="s">
        <v>165</v>
      </c>
      <c r="K96" s="50">
        <v>2.0</v>
      </c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>
      <c r="A97" s="30"/>
      <c r="B97" s="47"/>
      <c r="H97" s="51" t="s">
        <v>21</v>
      </c>
      <c r="I97" s="51">
        <v>1.0</v>
      </c>
      <c r="J97" s="52" t="s">
        <v>168</v>
      </c>
      <c r="K97" s="50">
        <v>1.0</v>
      </c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>
      <c r="A98" s="30"/>
      <c r="B98" s="53"/>
      <c r="C98" s="54"/>
      <c r="D98" s="54"/>
      <c r="E98" s="54"/>
      <c r="F98" s="54"/>
      <c r="G98" s="54"/>
      <c r="H98" s="55" t="s">
        <v>22</v>
      </c>
      <c r="I98" s="55">
        <v>2.0</v>
      </c>
      <c r="J98" s="56" t="s">
        <v>166</v>
      </c>
      <c r="K98" s="57">
        <v>2.0</v>
      </c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>
      <c r="A99" s="30"/>
      <c r="B99" s="59" t="s">
        <v>169</v>
      </c>
      <c r="C99" s="60">
        <v>46108.0</v>
      </c>
      <c r="D99" s="61">
        <v>0.6454050925925926</v>
      </c>
      <c r="E99" s="62" t="s">
        <v>86</v>
      </c>
      <c r="F99" s="62" t="s">
        <v>87</v>
      </c>
      <c r="G99" s="62" t="s">
        <v>88</v>
      </c>
      <c r="H99" s="63" t="s">
        <v>2</v>
      </c>
      <c r="I99" s="63">
        <v>2.0</v>
      </c>
      <c r="J99" s="64" t="s">
        <v>162</v>
      </c>
      <c r="K99" s="65">
        <v>2.0</v>
      </c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>
      <c r="A100" s="30"/>
      <c r="B100" s="47"/>
      <c r="H100" s="51" t="s">
        <v>21</v>
      </c>
      <c r="I100" s="51">
        <v>1.0</v>
      </c>
      <c r="J100" s="52" t="s">
        <v>168</v>
      </c>
      <c r="K100" s="50">
        <v>1.0</v>
      </c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>
      <c r="A101" s="30"/>
      <c r="B101" s="47"/>
      <c r="H101" s="51" t="s">
        <v>11</v>
      </c>
      <c r="I101" s="51">
        <v>1.0</v>
      </c>
      <c r="J101" s="52" t="s">
        <v>165</v>
      </c>
      <c r="K101" s="50">
        <v>1.0</v>
      </c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>
      <c r="A102" s="30"/>
      <c r="B102" s="47"/>
      <c r="H102" s="51" t="s">
        <v>6</v>
      </c>
      <c r="I102" s="51">
        <v>1.0</v>
      </c>
      <c r="J102" s="52" t="s">
        <v>170</v>
      </c>
      <c r="K102" s="50">
        <v>1.0</v>
      </c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>
      <c r="A103" s="30"/>
      <c r="B103" s="53"/>
      <c r="C103" s="54"/>
      <c r="D103" s="54"/>
      <c r="E103" s="54"/>
      <c r="F103" s="54"/>
      <c r="G103" s="54"/>
      <c r="H103" s="55" t="s">
        <v>22</v>
      </c>
      <c r="I103" s="55">
        <v>1.0</v>
      </c>
      <c r="J103" s="76" t="s">
        <v>166</v>
      </c>
      <c r="K103" s="57">
        <v>1.0</v>
      </c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>
      <c r="A104" s="30"/>
      <c r="B104" s="59" t="s">
        <v>171</v>
      </c>
      <c r="C104" s="60">
        <v>46108.0</v>
      </c>
      <c r="D104" s="61">
        <v>0.6490625</v>
      </c>
      <c r="E104" s="62" t="s">
        <v>86</v>
      </c>
      <c r="F104" s="62" t="s">
        <v>87</v>
      </c>
      <c r="G104" s="62" t="s">
        <v>88</v>
      </c>
      <c r="H104" s="63" t="s">
        <v>2</v>
      </c>
      <c r="I104" s="63">
        <v>1.0</v>
      </c>
      <c r="J104" s="75" t="s">
        <v>162</v>
      </c>
      <c r="K104" s="65">
        <v>1.0</v>
      </c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>
      <c r="A105" s="30"/>
      <c r="B105" s="47"/>
      <c r="H105" s="51" t="s">
        <v>21</v>
      </c>
      <c r="I105" s="51">
        <v>1.0</v>
      </c>
      <c r="J105" s="52" t="s">
        <v>168</v>
      </c>
      <c r="K105" s="50">
        <v>1.0</v>
      </c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>
      <c r="A106" s="30"/>
      <c r="B106" s="47"/>
      <c r="H106" s="51" t="s">
        <v>11</v>
      </c>
      <c r="I106" s="51">
        <v>1.0</v>
      </c>
      <c r="J106" s="52" t="s">
        <v>165</v>
      </c>
      <c r="K106" s="50">
        <v>1.0</v>
      </c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>
      <c r="A107" s="30"/>
      <c r="B107" s="47"/>
      <c r="H107" s="51" t="s">
        <v>22</v>
      </c>
      <c r="I107" s="51">
        <v>1.0</v>
      </c>
      <c r="J107" s="52" t="s">
        <v>166</v>
      </c>
      <c r="K107" s="50">
        <v>1.0</v>
      </c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>
      <c r="A108" s="30"/>
      <c r="B108" s="53"/>
      <c r="C108" s="54"/>
      <c r="D108" s="54"/>
      <c r="E108" s="54"/>
      <c r="F108" s="54"/>
      <c r="G108" s="54"/>
      <c r="H108" s="55" t="s">
        <v>17</v>
      </c>
      <c r="I108" s="55">
        <v>1.0</v>
      </c>
      <c r="J108" s="76" t="s">
        <v>164</v>
      </c>
      <c r="K108" s="57">
        <v>1.0</v>
      </c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>
      <c r="A109" s="30"/>
      <c r="B109" s="59" t="s">
        <v>172</v>
      </c>
      <c r="C109" s="60">
        <v>46108.0</v>
      </c>
      <c r="D109" s="61">
        <v>0.6508449074074074</v>
      </c>
      <c r="E109" s="62" t="s">
        <v>86</v>
      </c>
      <c r="F109" s="62" t="s">
        <v>87</v>
      </c>
      <c r="G109" s="62" t="s">
        <v>88</v>
      </c>
      <c r="H109" s="63" t="s">
        <v>17</v>
      </c>
      <c r="I109" s="63">
        <v>2.0</v>
      </c>
      <c r="J109" s="75" t="s">
        <v>164</v>
      </c>
      <c r="K109" s="65">
        <v>2.0</v>
      </c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>
      <c r="A110" s="30"/>
      <c r="B110" s="47"/>
      <c r="H110" s="51" t="s">
        <v>2</v>
      </c>
      <c r="I110" s="51">
        <v>1.0</v>
      </c>
      <c r="J110" s="52" t="s">
        <v>162</v>
      </c>
      <c r="K110" s="50">
        <v>1.0</v>
      </c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>
      <c r="A111" s="30"/>
      <c r="B111" s="47"/>
      <c r="H111" s="51" t="s">
        <v>11</v>
      </c>
      <c r="I111" s="51">
        <v>1.0</v>
      </c>
      <c r="J111" s="49" t="s">
        <v>165</v>
      </c>
      <c r="K111" s="50">
        <v>1.0</v>
      </c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>
      <c r="A112" s="30"/>
      <c r="B112" s="47"/>
      <c r="H112" s="51" t="s">
        <v>22</v>
      </c>
      <c r="I112" s="51">
        <v>1.0</v>
      </c>
      <c r="J112" s="52" t="s">
        <v>166</v>
      </c>
      <c r="K112" s="50">
        <v>1.0</v>
      </c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>
      <c r="A113" s="30"/>
      <c r="B113" s="53"/>
      <c r="C113" s="54"/>
      <c r="D113" s="54"/>
      <c r="E113" s="54"/>
      <c r="F113" s="54"/>
      <c r="G113" s="54"/>
      <c r="H113" s="55" t="s">
        <v>173</v>
      </c>
      <c r="I113" s="55">
        <v>1.0</v>
      </c>
      <c r="J113" s="76" t="s">
        <v>174</v>
      </c>
      <c r="K113" s="57">
        <v>1.0</v>
      </c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>
      <c r="A114" s="30"/>
      <c r="B114" s="59" t="s">
        <v>175</v>
      </c>
      <c r="C114" s="60">
        <v>46108.0</v>
      </c>
      <c r="D114" s="61">
        <v>0.6527199074074074</v>
      </c>
      <c r="E114" s="62" t="s">
        <v>86</v>
      </c>
      <c r="F114" s="62" t="s">
        <v>87</v>
      </c>
      <c r="G114" s="62" t="s">
        <v>88</v>
      </c>
      <c r="H114" s="63" t="s">
        <v>17</v>
      </c>
      <c r="I114" s="63">
        <v>4.0</v>
      </c>
      <c r="J114" s="75" t="s">
        <v>164</v>
      </c>
      <c r="K114" s="65">
        <v>4.0</v>
      </c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>
      <c r="A115" s="30"/>
      <c r="B115" s="47"/>
      <c r="H115" s="74" t="s">
        <v>176</v>
      </c>
      <c r="I115" s="51">
        <v>1.0</v>
      </c>
      <c r="J115" s="52" t="s">
        <v>177</v>
      </c>
      <c r="K115" s="50">
        <v>1.0</v>
      </c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>
      <c r="A116" s="30"/>
      <c r="B116" s="47"/>
      <c r="H116" s="74" t="s">
        <v>11</v>
      </c>
      <c r="I116" s="51">
        <v>2.0</v>
      </c>
      <c r="J116" s="52" t="s">
        <v>165</v>
      </c>
      <c r="K116" s="50">
        <v>2.0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>
      <c r="A117" s="30"/>
      <c r="B117" s="53"/>
      <c r="C117" s="54"/>
      <c r="D117" s="54"/>
      <c r="E117" s="54"/>
      <c r="F117" s="54"/>
      <c r="G117" s="54"/>
      <c r="H117" s="55" t="s">
        <v>178</v>
      </c>
      <c r="I117" s="55">
        <v>1.0</v>
      </c>
      <c r="J117" s="56" t="s">
        <v>179</v>
      </c>
      <c r="K117" s="57">
        <v>1.0</v>
      </c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>
      <c r="A118" s="30"/>
      <c r="B118" s="59" t="s">
        <v>180</v>
      </c>
      <c r="C118" s="60">
        <v>46108.0</v>
      </c>
      <c r="D118" s="61">
        <v>0.656875</v>
      </c>
      <c r="E118" s="62" t="s">
        <v>86</v>
      </c>
      <c r="F118" s="62" t="s">
        <v>87</v>
      </c>
      <c r="G118" s="62" t="s">
        <v>88</v>
      </c>
      <c r="H118" s="63" t="s">
        <v>11</v>
      </c>
      <c r="I118" s="63">
        <v>2.0</v>
      </c>
      <c r="J118" s="64" t="s">
        <v>165</v>
      </c>
      <c r="K118" s="65">
        <v>2.0</v>
      </c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>
      <c r="A119" s="30"/>
      <c r="B119" s="47"/>
      <c r="H119" s="51" t="s">
        <v>2</v>
      </c>
      <c r="I119" s="51">
        <v>1.0</v>
      </c>
      <c r="J119" s="52" t="s">
        <v>162</v>
      </c>
      <c r="K119" s="50">
        <v>1.0</v>
      </c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>
      <c r="A120" s="30"/>
      <c r="B120" s="47"/>
      <c r="H120" s="51" t="s">
        <v>173</v>
      </c>
      <c r="I120" s="51">
        <v>1.0</v>
      </c>
      <c r="J120" s="52" t="s">
        <v>174</v>
      </c>
      <c r="K120" s="50">
        <v>1.0</v>
      </c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>
      <c r="A121" s="30"/>
      <c r="B121" s="47"/>
      <c r="H121" s="51" t="s">
        <v>26</v>
      </c>
      <c r="I121" s="51">
        <v>2.0</v>
      </c>
      <c r="J121" s="52" t="s">
        <v>181</v>
      </c>
      <c r="K121" s="50">
        <v>2.0</v>
      </c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>
      <c r="A122" s="30"/>
      <c r="B122" s="47"/>
      <c r="H122" s="51" t="s">
        <v>22</v>
      </c>
      <c r="I122" s="51">
        <v>1.0</v>
      </c>
      <c r="J122" s="52" t="s">
        <v>166</v>
      </c>
      <c r="K122" s="50">
        <v>1.0</v>
      </c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>
      <c r="A123" s="30"/>
      <c r="B123" s="53"/>
      <c r="C123" s="54"/>
      <c r="D123" s="54"/>
      <c r="E123" s="54"/>
      <c r="F123" s="54"/>
      <c r="G123" s="54"/>
      <c r="H123" s="55" t="s">
        <v>17</v>
      </c>
      <c r="I123" s="55">
        <v>1.0</v>
      </c>
      <c r="J123" s="56" t="s">
        <v>164</v>
      </c>
      <c r="K123" s="57">
        <v>1.0</v>
      </c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>
      <c r="A124" s="30"/>
      <c r="B124" s="67" t="s">
        <v>182</v>
      </c>
      <c r="C124" s="68">
        <v>46108.0</v>
      </c>
      <c r="D124" s="69">
        <v>0.6593055555555556</v>
      </c>
      <c r="E124" s="70" t="s">
        <v>86</v>
      </c>
      <c r="F124" s="70" t="s">
        <v>87</v>
      </c>
      <c r="G124" s="70" t="s">
        <v>88</v>
      </c>
      <c r="H124" s="70" t="s">
        <v>16</v>
      </c>
      <c r="I124" s="70" t="s">
        <v>16</v>
      </c>
      <c r="J124" s="71" t="s">
        <v>16</v>
      </c>
      <c r="K124" s="72" t="s">
        <v>16</v>
      </c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>
      <c r="A125" s="30"/>
      <c r="B125" s="59" t="s">
        <v>183</v>
      </c>
      <c r="C125" s="60">
        <v>46109.0</v>
      </c>
      <c r="D125" s="61">
        <v>0.45675925925925925</v>
      </c>
      <c r="E125" s="62" t="s">
        <v>86</v>
      </c>
      <c r="F125" s="62" t="s">
        <v>87</v>
      </c>
      <c r="G125" s="62" t="s">
        <v>88</v>
      </c>
      <c r="H125" s="63" t="s">
        <v>2</v>
      </c>
      <c r="I125" s="63">
        <v>3.0</v>
      </c>
      <c r="J125" s="75" t="s">
        <v>162</v>
      </c>
      <c r="K125" s="65">
        <v>3.0</v>
      </c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>
      <c r="A126" s="30"/>
      <c r="B126" s="47"/>
      <c r="H126" s="51" t="s">
        <v>17</v>
      </c>
      <c r="I126" s="51">
        <v>3.0</v>
      </c>
      <c r="J126" s="52" t="s">
        <v>164</v>
      </c>
      <c r="K126" s="50">
        <v>3.0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>
      <c r="A127" s="30"/>
      <c r="B127" s="53"/>
      <c r="C127" s="54"/>
      <c r="D127" s="54"/>
      <c r="E127" s="54"/>
      <c r="F127" s="54"/>
      <c r="G127" s="54"/>
      <c r="H127" s="66" t="s">
        <v>184</v>
      </c>
      <c r="I127" s="66">
        <v>1.0</v>
      </c>
      <c r="J127" s="77" t="s">
        <v>185</v>
      </c>
      <c r="K127" s="78">
        <v>1.0</v>
      </c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>
      <c r="A128" s="30"/>
      <c r="B128" s="59" t="s">
        <v>186</v>
      </c>
      <c r="C128" s="60">
        <v>46109.0</v>
      </c>
      <c r="D128" s="61">
        <v>0.45875</v>
      </c>
      <c r="E128" s="62" t="s">
        <v>86</v>
      </c>
      <c r="F128" s="62" t="s">
        <v>87</v>
      </c>
      <c r="G128" s="62" t="s">
        <v>88</v>
      </c>
      <c r="H128" s="63" t="s">
        <v>2</v>
      </c>
      <c r="I128" s="63">
        <v>3.0</v>
      </c>
      <c r="J128" s="75" t="s">
        <v>162</v>
      </c>
      <c r="K128" s="65">
        <v>3.0</v>
      </c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>
      <c r="A129" s="30"/>
      <c r="B129" s="47"/>
      <c r="H129" s="74" t="s">
        <v>184</v>
      </c>
      <c r="I129" s="51">
        <v>2.0</v>
      </c>
      <c r="J129" s="52" t="s">
        <v>185</v>
      </c>
      <c r="K129" s="50">
        <v>2.0</v>
      </c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>
      <c r="A130" s="30"/>
      <c r="B130" s="47"/>
      <c r="H130" s="74" t="s">
        <v>6</v>
      </c>
      <c r="I130" s="51">
        <v>1.0</v>
      </c>
      <c r="J130" s="52" t="s">
        <v>170</v>
      </c>
      <c r="K130" s="50">
        <v>1.0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>
      <c r="A131" s="30"/>
      <c r="B131" s="79"/>
      <c r="C131" s="80"/>
      <c r="D131" s="80"/>
      <c r="E131" s="80"/>
      <c r="F131" s="80"/>
      <c r="G131" s="80"/>
      <c r="H131" s="81" t="s">
        <v>17</v>
      </c>
      <c r="I131" s="81">
        <v>2.0</v>
      </c>
      <c r="J131" s="82" t="s">
        <v>164</v>
      </c>
      <c r="K131" s="83">
        <v>2.0</v>
      </c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>
      <c r="A132" s="30"/>
      <c r="B132" s="42" t="s">
        <v>85</v>
      </c>
      <c r="C132" s="43">
        <v>46138.0</v>
      </c>
      <c r="D132" s="44">
        <v>0.7643634259259259</v>
      </c>
      <c r="E132" s="30" t="s">
        <v>187</v>
      </c>
      <c r="F132" s="30" t="s">
        <v>87</v>
      </c>
      <c r="G132" s="30" t="s">
        <v>88</v>
      </c>
      <c r="H132" s="84" t="s">
        <v>2</v>
      </c>
      <c r="I132" s="30">
        <v>4.0</v>
      </c>
      <c r="J132" s="45" t="s">
        <v>188</v>
      </c>
      <c r="K132" s="46">
        <v>2.0</v>
      </c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>
      <c r="A133" s="32"/>
      <c r="B133" s="47"/>
      <c r="J133" s="52" t="s">
        <v>189</v>
      </c>
      <c r="K133" s="50">
        <v>1.0</v>
      </c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>
      <c r="A134" s="32"/>
      <c r="B134" s="47"/>
      <c r="H134" s="48"/>
      <c r="I134" s="48"/>
      <c r="J134" s="49" t="s">
        <v>190</v>
      </c>
      <c r="K134" s="50">
        <v>1.0</v>
      </c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>
      <c r="A135" s="32"/>
      <c r="B135" s="47"/>
      <c r="H135" s="85" t="s">
        <v>5</v>
      </c>
      <c r="I135" s="85">
        <v>1.0</v>
      </c>
      <c r="J135" s="52" t="s">
        <v>191</v>
      </c>
      <c r="K135" s="50">
        <v>1.0</v>
      </c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>
      <c r="A136" s="32"/>
      <c r="B136" s="47"/>
      <c r="H136" s="51" t="s">
        <v>108</v>
      </c>
      <c r="I136" s="51">
        <v>1.0</v>
      </c>
      <c r="J136" s="52" t="s">
        <v>192</v>
      </c>
      <c r="K136" s="50">
        <v>1.0</v>
      </c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>
      <c r="A137" s="32"/>
      <c r="B137" s="47"/>
      <c r="H137" s="66" t="s">
        <v>8</v>
      </c>
      <c r="I137" s="66">
        <v>1.0</v>
      </c>
      <c r="J137" s="77" t="s">
        <v>193</v>
      </c>
      <c r="K137" s="78">
        <v>1.0</v>
      </c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>
      <c r="A138" s="32"/>
      <c r="B138" s="53"/>
      <c r="C138" s="54"/>
      <c r="D138" s="54"/>
      <c r="E138" s="54"/>
      <c r="F138" s="54"/>
      <c r="G138" s="54"/>
      <c r="H138" s="55" t="s">
        <v>194</v>
      </c>
      <c r="I138" s="55">
        <v>2.0</v>
      </c>
      <c r="J138" s="56" t="s">
        <v>195</v>
      </c>
      <c r="K138" s="57">
        <v>2.0</v>
      </c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>
      <c r="A139" s="32"/>
      <c r="B139" s="42" t="s">
        <v>94</v>
      </c>
      <c r="C139" s="43">
        <v>46121.0</v>
      </c>
      <c r="D139" s="44">
        <v>0.789050925925926</v>
      </c>
      <c r="E139" s="30" t="s">
        <v>187</v>
      </c>
      <c r="F139" s="30" t="s">
        <v>87</v>
      </c>
      <c r="G139" s="30" t="s">
        <v>88</v>
      </c>
      <c r="H139" s="30" t="s">
        <v>2</v>
      </c>
      <c r="I139" s="30">
        <v>2.0</v>
      </c>
      <c r="J139" s="45" t="s">
        <v>188</v>
      </c>
      <c r="K139" s="46">
        <v>1.0</v>
      </c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>
      <c r="A140" s="32"/>
      <c r="B140" s="47"/>
      <c r="H140" s="48"/>
      <c r="I140" s="48"/>
      <c r="J140" s="49" t="s">
        <v>190</v>
      </c>
      <c r="K140" s="50">
        <v>1.0</v>
      </c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>
      <c r="A141" s="32"/>
      <c r="B141" s="47"/>
      <c r="H141" s="51" t="s">
        <v>5</v>
      </c>
      <c r="I141" s="51">
        <v>1.0</v>
      </c>
      <c r="J141" s="52" t="s">
        <v>191</v>
      </c>
      <c r="K141" s="50">
        <v>1.0</v>
      </c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>
      <c r="A142" s="32"/>
      <c r="B142" s="53"/>
      <c r="C142" s="54"/>
      <c r="D142" s="54"/>
      <c r="E142" s="54"/>
      <c r="F142" s="54"/>
      <c r="G142" s="54"/>
      <c r="H142" s="58" t="s">
        <v>194</v>
      </c>
      <c r="I142" s="55">
        <v>1.0</v>
      </c>
      <c r="J142" s="56" t="s">
        <v>196</v>
      </c>
      <c r="K142" s="57">
        <v>1.0</v>
      </c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>
      <c r="A143" s="32"/>
      <c r="B143" s="59" t="s">
        <v>100</v>
      </c>
      <c r="C143" s="60">
        <v>46121.0</v>
      </c>
      <c r="D143" s="61">
        <v>0.794675925925926</v>
      </c>
      <c r="E143" s="62" t="s">
        <v>187</v>
      </c>
      <c r="F143" s="62" t="s">
        <v>87</v>
      </c>
      <c r="G143" s="62" t="s">
        <v>88</v>
      </c>
      <c r="H143" s="30" t="s">
        <v>2</v>
      </c>
      <c r="I143" s="30">
        <v>2.0</v>
      </c>
      <c r="J143" s="45" t="s">
        <v>190</v>
      </c>
      <c r="K143" s="46">
        <v>1.0</v>
      </c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>
      <c r="A144" s="32"/>
      <c r="B144" s="47"/>
      <c r="H144" s="48"/>
      <c r="I144" s="48"/>
      <c r="J144" s="52" t="s">
        <v>189</v>
      </c>
      <c r="K144" s="50">
        <v>1.0</v>
      </c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>
      <c r="A145" s="32"/>
      <c r="B145" s="47"/>
      <c r="H145" s="51" t="s">
        <v>8</v>
      </c>
      <c r="I145" s="51">
        <v>1.0</v>
      </c>
      <c r="J145" s="49" t="s">
        <v>193</v>
      </c>
      <c r="K145" s="50">
        <v>1.0</v>
      </c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>
      <c r="A146" s="32"/>
      <c r="B146" s="47"/>
      <c r="H146" s="30" t="s">
        <v>197</v>
      </c>
      <c r="I146" s="30">
        <v>1.0</v>
      </c>
      <c r="J146" s="86" t="s">
        <v>198</v>
      </c>
      <c r="K146" s="87">
        <v>1.0</v>
      </c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>
      <c r="A147" s="32"/>
      <c r="B147" s="53"/>
      <c r="C147" s="54"/>
      <c r="D147" s="54"/>
      <c r="E147" s="54"/>
      <c r="F147" s="54"/>
      <c r="G147" s="54"/>
      <c r="H147" s="55" t="s">
        <v>199</v>
      </c>
      <c r="I147" s="55">
        <v>1.0</v>
      </c>
      <c r="J147" s="56" t="s">
        <v>200</v>
      </c>
      <c r="K147" s="57">
        <v>1.0</v>
      </c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>
      <c r="A148" s="32"/>
      <c r="B148" s="59" t="s">
        <v>103</v>
      </c>
      <c r="C148" s="60">
        <v>46121.0</v>
      </c>
      <c r="D148" s="61">
        <v>0.7999421296296296</v>
      </c>
      <c r="E148" s="62" t="s">
        <v>187</v>
      </c>
      <c r="F148" s="62" t="s">
        <v>87</v>
      </c>
      <c r="G148" s="62" t="s">
        <v>88</v>
      </c>
      <c r="H148" s="84" t="s">
        <v>2</v>
      </c>
      <c r="I148" s="30">
        <v>5.0</v>
      </c>
      <c r="J148" s="45" t="s">
        <v>188</v>
      </c>
      <c r="K148" s="46">
        <v>1.0</v>
      </c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>
      <c r="A149" s="32"/>
      <c r="B149" s="47"/>
      <c r="J149" s="52" t="s">
        <v>189</v>
      </c>
      <c r="K149" s="50">
        <v>2.0</v>
      </c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>
      <c r="A150" s="32"/>
      <c r="B150" s="47"/>
      <c r="J150" s="49" t="s">
        <v>190</v>
      </c>
      <c r="K150" s="50">
        <v>1.0</v>
      </c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>
      <c r="A151" s="32"/>
      <c r="B151" s="47"/>
      <c r="H151" s="48"/>
      <c r="I151" s="48"/>
      <c r="J151" s="52" t="s">
        <v>201</v>
      </c>
      <c r="K151" s="50">
        <v>1.0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>
      <c r="A152" s="32"/>
      <c r="B152" s="47"/>
      <c r="H152" s="85" t="s">
        <v>5</v>
      </c>
      <c r="I152" s="85">
        <v>1.0</v>
      </c>
      <c r="J152" s="52" t="s">
        <v>191</v>
      </c>
      <c r="K152" s="50">
        <v>1.0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>
      <c r="A153" s="32"/>
      <c r="B153" s="47"/>
      <c r="H153" s="51" t="s">
        <v>194</v>
      </c>
      <c r="I153" s="51">
        <v>2.0</v>
      </c>
      <c r="J153" s="52" t="s">
        <v>196</v>
      </c>
      <c r="K153" s="50">
        <v>2.0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>
      <c r="A154" s="32"/>
      <c r="B154" s="53"/>
      <c r="C154" s="54"/>
      <c r="D154" s="54"/>
      <c r="E154" s="54"/>
      <c r="F154" s="54"/>
      <c r="G154" s="54"/>
      <c r="H154" s="55" t="s">
        <v>6</v>
      </c>
      <c r="I154" s="55">
        <v>1.0</v>
      </c>
      <c r="J154" s="56" t="s">
        <v>202</v>
      </c>
      <c r="K154" s="57">
        <v>1.0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>
      <c r="A155" s="32"/>
      <c r="B155" s="59" t="s">
        <v>106</v>
      </c>
      <c r="C155" s="60">
        <v>46121.0</v>
      </c>
      <c r="D155" s="61">
        <v>0.8056597222222223</v>
      </c>
      <c r="E155" s="62" t="s">
        <v>187</v>
      </c>
      <c r="F155" s="62" t="s">
        <v>87</v>
      </c>
      <c r="G155" s="62" t="s">
        <v>88</v>
      </c>
      <c r="H155" s="62" t="s">
        <v>2</v>
      </c>
      <c r="I155" s="62">
        <v>2.0</v>
      </c>
      <c r="J155" s="45" t="s">
        <v>188</v>
      </c>
      <c r="K155" s="65">
        <v>1.0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>
      <c r="A156" s="32"/>
      <c r="B156" s="47"/>
      <c r="H156" s="48"/>
      <c r="I156" s="48"/>
      <c r="J156" s="49" t="s">
        <v>190</v>
      </c>
      <c r="K156" s="50">
        <v>1.0</v>
      </c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>
      <c r="A157" s="32"/>
      <c r="B157" s="47"/>
      <c r="H157" s="51" t="s">
        <v>5</v>
      </c>
      <c r="I157" s="51">
        <v>1.0</v>
      </c>
      <c r="J157" s="52" t="s">
        <v>191</v>
      </c>
      <c r="K157" s="50">
        <v>1.0</v>
      </c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>
      <c r="A158" s="32"/>
      <c r="B158" s="53"/>
      <c r="C158" s="54"/>
      <c r="D158" s="54"/>
      <c r="E158" s="54"/>
      <c r="F158" s="54"/>
      <c r="G158" s="54"/>
      <c r="H158" s="55" t="s">
        <v>194</v>
      </c>
      <c r="I158" s="55">
        <v>1.0</v>
      </c>
      <c r="J158" s="56" t="s">
        <v>196</v>
      </c>
      <c r="K158" s="57">
        <v>1.0</v>
      </c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>
      <c r="A159" s="32"/>
      <c r="B159" s="59" t="s">
        <v>107</v>
      </c>
      <c r="C159" s="60">
        <v>46121.0</v>
      </c>
      <c r="D159" s="61">
        <v>0.8077777777777778</v>
      </c>
      <c r="E159" s="62" t="s">
        <v>187</v>
      </c>
      <c r="F159" s="62" t="s">
        <v>87</v>
      </c>
      <c r="G159" s="62" t="s">
        <v>88</v>
      </c>
      <c r="H159" s="84" t="s">
        <v>2</v>
      </c>
      <c r="I159" s="30">
        <v>4.0</v>
      </c>
      <c r="J159" s="45" t="s">
        <v>188</v>
      </c>
      <c r="K159" s="46">
        <v>2.0</v>
      </c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>
      <c r="A160" s="32"/>
      <c r="B160" s="47"/>
      <c r="J160" s="52" t="s">
        <v>189</v>
      </c>
      <c r="K160" s="50">
        <v>1.0</v>
      </c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>
      <c r="A161" s="32"/>
      <c r="B161" s="47"/>
      <c r="H161" s="48"/>
      <c r="I161" s="48"/>
      <c r="J161" s="49" t="s">
        <v>190</v>
      </c>
      <c r="K161" s="50">
        <v>1.0</v>
      </c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>
      <c r="A162" s="32"/>
      <c r="B162" s="47"/>
      <c r="H162" s="85" t="s">
        <v>5</v>
      </c>
      <c r="I162" s="85">
        <v>2.0</v>
      </c>
      <c r="J162" s="52" t="s">
        <v>191</v>
      </c>
      <c r="K162" s="50">
        <v>2.0</v>
      </c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>
      <c r="A163" s="32"/>
      <c r="B163" s="47"/>
      <c r="H163" s="30" t="s">
        <v>203</v>
      </c>
      <c r="I163" s="30">
        <v>1.0</v>
      </c>
      <c r="J163" s="88" t="s">
        <v>204</v>
      </c>
      <c r="K163" s="78">
        <v>1.0</v>
      </c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>
      <c r="A164" s="32"/>
      <c r="B164" s="47"/>
      <c r="H164" s="51" t="s">
        <v>205</v>
      </c>
      <c r="I164" s="51">
        <v>1.0</v>
      </c>
      <c r="J164" s="52" t="s">
        <v>206</v>
      </c>
      <c r="K164" s="50">
        <v>1.0</v>
      </c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>
      <c r="A165" s="32"/>
      <c r="B165" s="53"/>
      <c r="C165" s="54"/>
      <c r="D165" s="54"/>
      <c r="E165" s="54"/>
      <c r="F165" s="54"/>
      <c r="G165" s="54"/>
      <c r="H165" s="55" t="s">
        <v>8</v>
      </c>
      <c r="I165" s="55">
        <v>1.0</v>
      </c>
      <c r="J165" s="56" t="s">
        <v>207</v>
      </c>
      <c r="K165" s="57">
        <v>1.0</v>
      </c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>
      <c r="A166" s="32"/>
      <c r="B166" s="59" t="s">
        <v>110</v>
      </c>
      <c r="C166" s="60">
        <v>46121.0</v>
      </c>
      <c r="D166" s="61">
        <v>0.8137847222222222</v>
      </c>
      <c r="E166" s="62" t="s">
        <v>187</v>
      </c>
      <c r="F166" s="62" t="s">
        <v>87</v>
      </c>
      <c r="G166" s="62" t="s">
        <v>88</v>
      </c>
      <c r="H166" s="84" t="s">
        <v>2</v>
      </c>
      <c r="I166" s="30">
        <v>4.0</v>
      </c>
      <c r="J166" s="45" t="s">
        <v>188</v>
      </c>
      <c r="K166" s="46">
        <v>1.0</v>
      </c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>
      <c r="A167" s="32"/>
      <c r="B167" s="47"/>
      <c r="J167" s="52" t="s">
        <v>189</v>
      </c>
      <c r="K167" s="50">
        <v>2.0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>
      <c r="A168" s="32"/>
      <c r="B168" s="47"/>
      <c r="H168" s="48"/>
      <c r="I168" s="48"/>
      <c r="J168" s="49" t="s">
        <v>201</v>
      </c>
      <c r="K168" s="50">
        <v>1.0</v>
      </c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>
      <c r="A169" s="32"/>
      <c r="B169" s="47"/>
      <c r="H169" s="85" t="s">
        <v>5</v>
      </c>
      <c r="I169" s="85">
        <v>1.0</v>
      </c>
      <c r="J169" s="52" t="s">
        <v>191</v>
      </c>
      <c r="K169" s="50">
        <v>1.0</v>
      </c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>
      <c r="A170" s="32"/>
      <c r="B170" s="47"/>
      <c r="H170" s="85" t="s">
        <v>208</v>
      </c>
      <c r="I170" s="85">
        <v>1.0</v>
      </c>
      <c r="J170" s="52" t="s">
        <v>209</v>
      </c>
      <c r="K170" s="50">
        <v>1.0</v>
      </c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>
      <c r="A171" s="32"/>
      <c r="B171" s="47"/>
      <c r="H171" s="51" t="s">
        <v>128</v>
      </c>
      <c r="I171" s="51">
        <v>1.0</v>
      </c>
      <c r="J171" s="52" t="s">
        <v>210</v>
      </c>
      <c r="K171" s="50">
        <v>1.0</v>
      </c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>
      <c r="A172" s="32"/>
      <c r="B172" s="53"/>
      <c r="C172" s="54"/>
      <c r="D172" s="54"/>
      <c r="E172" s="54"/>
      <c r="F172" s="54"/>
      <c r="G172" s="54"/>
      <c r="H172" s="55" t="s">
        <v>211</v>
      </c>
      <c r="I172" s="55">
        <v>1.0</v>
      </c>
      <c r="J172" s="56" t="s">
        <v>212</v>
      </c>
      <c r="K172" s="57">
        <v>1.0</v>
      </c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>
      <c r="A173" s="32"/>
      <c r="B173" s="59" t="s">
        <v>112</v>
      </c>
      <c r="C173" s="60">
        <v>46121.0</v>
      </c>
      <c r="D173" s="61">
        <v>0.8203703703703704</v>
      </c>
      <c r="E173" s="62" t="s">
        <v>187</v>
      </c>
      <c r="F173" s="62" t="s">
        <v>87</v>
      </c>
      <c r="G173" s="62" t="s">
        <v>88</v>
      </c>
      <c r="H173" s="62" t="s">
        <v>5</v>
      </c>
      <c r="I173" s="62">
        <v>2.0</v>
      </c>
      <c r="J173" s="64" t="s">
        <v>213</v>
      </c>
      <c r="K173" s="65">
        <v>1.0</v>
      </c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>
      <c r="A174" s="32"/>
      <c r="B174" s="47"/>
      <c r="H174" s="48"/>
      <c r="I174" s="48"/>
      <c r="J174" s="52" t="s">
        <v>191</v>
      </c>
      <c r="K174" s="50">
        <v>1.0</v>
      </c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>
      <c r="A175" s="32"/>
      <c r="B175" s="47"/>
      <c r="H175" s="51" t="s">
        <v>194</v>
      </c>
      <c r="I175" s="51">
        <v>1.0</v>
      </c>
      <c r="J175" s="52" t="s">
        <v>214</v>
      </c>
      <c r="K175" s="50">
        <v>1.0</v>
      </c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>
      <c r="A176" s="32"/>
      <c r="B176" s="47"/>
      <c r="H176" s="51" t="s">
        <v>2</v>
      </c>
      <c r="I176" s="51">
        <v>1.0</v>
      </c>
      <c r="J176" s="52" t="s">
        <v>188</v>
      </c>
      <c r="K176" s="50">
        <v>1.0</v>
      </c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>
      <c r="A177" s="32"/>
      <c r="B177" s="47"/>
      <c r="H177" s="51" t="s">
        <v>8</v>
      </c>
      <c r="I177" s="51">
        <v>1.0</v>
      </c>
      <c r="J177" s="52" t="s">
        <v>207</v>
      </c>
      <c r="K177" s="50">
        <v>1.0</v>
      </c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>
      <c r="A178" s="32"/>
      <c r="B178" s="53"/>
      <c r="C178" s="54"/>
      <c r="D178" s="54"/>
      <c r="E178" s="54"/>
      <c r="F178" s="54"/>
      <c r="G178" s="54"/>
      <c r="H178" s="89" t="s">
        <v>215</v>
      </c>
      <c r="I178" s="89">
        <v>1.0</v>
      </c>
      <c r="J178" s="56" t="s">
        <v>216</v>
      </c>
      <c r="K178" s="57">
        <v>1.0</v>
      </c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>
      <c r="A179" s="32"/>
      <c r="B179" s="59" t="s">
        <v>114</v>
      </c>
      <c r="C179" s="60">
        <v>46121.0</v>
      </c>
      <c r="D179" s="61">
        <v>0.825462962962963</v>
      </c>
      <c r="E179" s="62" t="s">
        <v>187</v>
      </c>
      <c r="F179" s="62" t="s">
        <v>87</v>
      </c>
      <c r="G179" s="62" t="s">
        <v>88</v>
      </c>
      <c r="H179" s="84" t="s">
        <v>2</v>
      </c>
      <c r="I179" s="30">
        <v>4.0</v>
      </c>
      <c r="J179" s="45" t="s">
        <v>188</v>
      </c>
      <c r="K179" s="46">
        <v>1.0</v>
      </c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>
      <c r="A180" s="32"/>
      <c r="B180" s="47"/>
      <c r="J180" s="49" t="s">
        <v>190</v>
      </c>
      <c r="K180" s="50">
        <v>2.0</v>
      </c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>
      <c r="A181" s="32"/>
      <c r="B181" s="47"/>
      <c r="H181" s="48"/>
      <c r="I181" s="48"/>
      <c r="J181" s="88" t="s">
        <v>217</v>
      </c>
      <c r="K181" s="50">
        <v>1.0</v>
      </c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>
      <c r="A182" s="32"/>
      <c r="B182" s="47"/>
      <c r="H182" s="30" t="s">
        <v>5</v>
      </c>
      <c r="I182" s="30">
        <v>3.0</v>
      </c>
      <c r="J182" s="88" t="s">
        <v>218</v>
      </c>
      <c r="K182" s="78">
        <v>2.0</v>
      </c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>
      <c r="A183" s="32"/>
      <c r="B183" s="47"/>
      <c r="H183" s="48"/>
      <c r="I183" s="48"/>
      <c r="J183" s="52" t="s">
        <v>191</v>
      </c>
      <c r="K183" s="50">
        <v>1.0</v>
      </c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>
      <c r="A184" s="32"/>
      <c r="B184" s="47"/>
      <c r="H184" s="73" t="s">
        <v>197</v>
      </c>
      <c r="I184" s="51">
        <v>1.0</v>
      </c>
      <c r="J184" s="52" t="s">
        <v>219</v>
      </c>
      <c r="K184" s="50">
        <v>1.0</v>
      </c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>
      <c r="A185" s="32"/>
      <c r="B185" s="47"/>
      <c r="H185" s="66" t="s">
        <v>220</v>
      </c>
      <c r="I185" s="66">
        <v>1.0</v>
      </c>
      <c r="J185" s="88" t="s">
        <v>221</v>
      </c>
      <c r="K185" s="78">
        <v>1.0</v>
      </c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>
      <c r="A186" s="32"/>
      <c r="B186" s="53"/>
      <c r="C186" s="54"/>
      <c r="D186" s="54"/>
      <c r="E186" s="54"/>
      <c r="F186" s="54"/>
      <c r="G186" s="54"/>
      <c r="H186" s="55" t="s">
        <v>143</v>
      </c>
      <c r="I186" s="55">
        <v>1.0</v>
      </c>
      <c r="J186" s="56" t="s">
        <v>222</v>
      </c>
      <c r="K186" s="57">
        <v>1.0</v>
      </c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>
      <c r="A187" s="32"/>
      <c r="B187" s="59" t="s">
        <v>118</v>
      </c>
      <c r="C187" s="60">
        <v>46121.0</v>
      </c>
      <c r="D187" s="61">
        <v>0.8334027777777778</v>
      </c>
      <c r="E187" s="62" t="s">
        <v>187</v>
      </c>
      <c r="F187" s="62" t="s">
        <v>87</v>
      </c>
      <c r="G187" s="62" t="s">
        <v>88</v>
      </c>
      <c r="H187" s="63" t="s">
        <v>143</v>
      </c>
      <c r="I187" s="63">
        <v>1.0</v>
      </c>
      <c r="J187" s="64" t="s">
        <v>222</v>
      </c>
      <c r="K187" s="65">
        <v>1.0</v>
      </c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>
      <c r="A188" s="32"/>
      <c r="B188" s="47"/>
      <c r="H188" s="73" t="s">
        <v>205</v>
      </c>
      <c r="I188" s="51">
        <v>3.0</v>
      </c>
      <c r="J188" s="52" t="s">
        <v>206</v>
      </c>
      <c r="K188" s="50">
        <v>3.0</v>
      </c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>
      <c r="A189" s="32"/>
      <c r="B189" s="47"/>
      <c r="H189" s="51" t="s">
        <v>2</v>
      </c>
      <c r="I189" s="51">
        <v>1.0</v>
      </c>
      <c r="J189" s="52" t="s">
        <v>188</v>
      </c>
      <c r="K189" s="50">
        <v>1.0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>
      <c r="A190" s="32"/>
      <c r="B190" s="47"/>
      <c r="H190" s="51" t="s">
        <v>223</v>
      </c>
      <c r="I190" s="51">
        <v>1.0</v>
      </c>
      <c r="J190" s="52" t="s">
        <v>224</v>
      </c>
      <c r="K190" s="50">
        <v>1.0</v>
      </c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>
      <c r="A191" s="32"/>
      <c r="B191" s="47"/>
      <c r="H191" s="51" t="s">
        <v>5</v>
      </c>
      <c r="I191" s="51">
        <v>1.0</v>
      </c>
      <c r="J191" s="52" t="s">
        <v>225</v>
      </c>
      <c r="K191" s="50">
        <v>1.0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>
      <c r="A192" s="32"/>
      <c r="B192" s="53"/>
      <c r="C192" s="54"/>
      <c r="D192" s="54"/>
      <c r="E192" s="54"/>
      <c r="F192" s="54"/>
      <c r="G192" s="54"/>
      <c r="H192" s="55" t="s">
        <v>226</v>
      </c>
      <c r="I192" s="55">
        <v>1.0</v>
      </c>
      <c r="J192" s="56" t="s">
        <v>227</v>
      </c>
      <c r="K192" s="57">
        <v>1.0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>
      <c r="A193" s="32"/>
      <c r="B193" s="59" t="s">
        <v>123</v>
      </c>
      <c r="C193" s="60">
        <v>46122.0</v>
      </c>
      <c r="D193" s="61">
        <v>0.45622685185185186</v>
      </c>
      <c r="E193" s="62" t="s">
        <v>187</v>
      </c>
      <c r="F193" s="62" t="s">
        <v>87</v>
      </c>
      <c r="G193" s="62" t="s">
        <v>88</v>
      </c>
      <c r="H193" s="63" t="s">
        <v>2</v>
      </c>
      <c r="I193" s="63">
        <v>3.0</v>
      </c>
      <c r="J193" s="64" t="s">
        <v>228</v>
      </c>
      <c r="K193" s="65">
        <v>3.0</v>
      </c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>
      <c r="A194" s="32"/>
      <c r="B194" s="47"/>
      <c r="H194" s="51" t="s">
        <v>229</v>
      </c>
      <c r="I194" s="51">
        <v>3.0</v>
      </c>
      <c r="J194" s="52" t="s">
        <v>230</v>
      </c>
      <c r="K194" s="50">
        <v>3.0</v>
      </c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>
      <c r="A195" s="32"/>
      <c r="B195" s="47"/>
      <c r="H195" s="66" t="s">
        <v>128</v>
      </c>
      <c r="I195" s="66">
        <v>1.0</v>
      </c>
      <c r="J195" s="49" t="s">
        <v>231</v>
      </c>
      <c r="K195" s="50">
        <v>1.0</v>
      </c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>
      <c r="A196" s="32"/>
      <c r="B196" s="47"/>
      <c r="H196" s="51" t="s">
        <v>232</v>
      </c>
      <c r="I196" s="51">
        <v>1.0</v>
      </c>
      <c r="J196" s="52" t="s">
        <v>233</v>
      </c>
      <c r="K196" s="50">
        <v>1.0</v>
      </c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>
      <c r="A197" s="32"/>
      <c r="B197" s="47"/>
      <c r="H197" s="51" t="s">
        <v>30</v>
      </c>
      <c r="I197" s="51">
        <v>1.0</v>
      </c>
      <c r="J197" s="52" t="s">
        <v>234</v>
      </c>
      <c r="K197" s="50">
        <v>1.0</v>
      </c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>
      <c r="A198" s="32"/>
      <c r="B198" s="47"/>
      <c r="H198" s="66" t="s">
        <v>235</v>
      </c>
      <c r="I198" s="66">
        <v>1.0</v>
      </c>
      <c r="J198" s="88" t="s">
        <v>236</v>
      </c>
      <c r="K198" s="78">
        <v>1.0</v>
      </c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>
      <c r="A199" s="32"/>
      <c r="B199" s="53"/>
      <c r="C199" s="54"/>
      <c r="D199" s="54"/>
      <c r="E199" s="54"/>
      <c r="F199" s="54"/>
      <c r="G199" s="54"/>
      <c r="H199" s="55" t="s">
        <v>143</v>
      </c>
      <c r="I199" s="55">
        <v>1.0</v>
      </c>
      <c r="J199" s="56" t="s">
        <v>237</v>
      </c>
      <c r="K199" s="57">
        <v>1.0</v>
      </c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>
      <c r="A200" s="32"/>
      <c r="B200" s="59" t="s">
        <v>130</v>
      </c>
      <c r="C200" s="60">
        <v>46122.0</v>
      </c>
      <c r="D200" s="61">
        <v>0.4637384259259259</v>
      </c>
      <c r="E200" s="62" t="s">
        <v>187</v>
      </c>
      <c r="F200" s="62" t="s">
        <v>87</v>
      </c>
      <c r="G200" s="62" t="s">
        <v>88</v>
      </c>
      <c r="H200" s="63" t="s">
        <v>2</v>
      </c>
      <c r="I200" s="63">
        <v>1.0</v>
      </c>
      <c r="J200" s="64" t="s">
        <v>228</v>
      </c>
      <c r="K200" s="65">
        <v>1.0</v>
      </c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>
      <c r="A201" s="32"/>
      <c r="B201" s="47"/>
      <c r="H201" s="51" t="s">
        <v>229</v>
      </c>
      <c r="I201" s="51">
        <v>1.0</v>
      </c>
      <c r="J201" s="52" t="s">
        <v>230</v>
      </c>
      <c r="K201" s="50">
        <v>1.0</v>
      </c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>
      <c r="A202" s="32"/>
      <c r="B202" s="47"/>
      <c r="H202" s="51" t="s">
        <v>30</v>
      </c>
      <c r="I202" s="51">
        <v>1.0</v>
      </c>
      <c r="J202" s="52" t="s">
        <v>234</v>
      </c>
      <c r="K202" s="50">
        <v>1.0</v>
      </c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>
      <c r="A203" s="32"/>
      <c r="B203" s="47"/>
      <c r="H203" s="51" t="s">
        <v>238</v>
      </c>
      <c r="I203" s="51">
        <v>1.0</v>
      </c>
      <c r="J203" s="52" t="s">
        <v>239</v>
      </c>
      <c r="K203" s="50">
        <v>1.0</v>
      </c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>
      <c r="A204" s="32"/>
      <c r="B204" s="47"/>
      <c r="H204" s="66" t="s">
        <v>240</v>
      </c>
      <c r="I204" s="66">
        <v>1.0</v>
      </c>
      <c r="J204" s="88" t="s">
        <v>241</v>
      </c>
      <c r="K204" s="78">
        <v>1.0</v>
      </c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>
      <c r="A205" s="32"/>
      <c r="B205" s="53"/>
      <c r="C205" s="54"/>
      <c r="D205" s="54"/>
      <c r="E205" s="54"/>
      <c r="F205" s="54"/>
      <c r="G205" s="54"/>
      <c r="H205" s="55" t="s">
        <v>242</v>
      </c>
      <c r="I205" s="55">
        <v>1.0</v>
      </c>
      <c r="J205" s="56" t="s">
        <v>243</v>
      </c>
      <c r="K205" s="57">
        <v>1.0</v>
      </c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>
      <c r="A206" s="32"/>
      <c r="B206" s="59" t="s">
        <v>133</v>
      </c>
      <c r="C206" s="60">
        <v>46122.0</v>
      </c>
      <c r="D206" s="61">
        <v>0.4677662037037037</v>
      </c>
      <c r="E206" s="62" t="s">
        <v>187</v>
      </c>
      <c r="F206" s="62" t="s">
        <v>87</v>
      </c>
      <c r="G206" s="62" t="s">
        <v>88</v>
      </c>
      <c r="H206" s="63" t="s">
        <v>2</v>
      </c>
      <c r="I206" s="63">
        <v>1.0</v>
      </c>
      <c r="J206" s="64" t="s">
        <v>228</v>
      </c>
      <c r="K206" s="65">
        <v>1.0</v>
      </c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>
      <c r="A207" s="32"/>
      <c r="B207" s="47"/>
      <c r="H207" s="51" t="s">
        <v>229</v>
      </c>
      <c r="I207" s="51">
        <v>1.0</v>
      </c>
      <c r="J207" s="52" t="s">
        <v>230</v>
      </c>
      <c r="K207" s="50">
        <v>1.0</v>
      </c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>
      <c r="A208" s="32"/>
      <c r="B208" s="47"/>
      <c r="H208" s="66" t="s">
        <v>240</v>
      </c>
      <c r="I208" s="66">
        <v>1.0</v>
      </c>
      <c r="J208" s="88" t="s">
        <v>241</v>
      </c>
      <c r="K208" s="78">
        <v>1.0</v>
      </c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>
      <c r="A209" s="32"/>
      <c r="B209" s="53"/>
      <c r="C209" s="54"/>
      <c r="D209" s="54"/>
      <c r="E209" s="54"/>
      <c r="F209" s="54"/>
      <c r="G209" s="54"/>
      <c r="H209" s="55" t="s">
        <v>128</v>
      </c>
      <c r="I209" s="55">
        <v>1.0</v>
      </c>
      <c r="J209" s="56" t="s">
        <v>244</v>
      </c>
      <c r="K209" s="57">
        <v>1.0</v>
      </c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>
      <c r="A210" s="32"/>
      <c r="B210" s="59" t="s">
        <v>137</v>
      </c>
      <c r="C210" s="60">
        <v>46122.0</v>
      </c>
      <c r="D210" s="61">
        <v>0.47011574074074075</v>
      </c>
      <c r="E210" s="62" t="s">
        <v>187</v>
      </c>
      <c r="F210" s="62" t="s">
        <v>87</v>
      </c>
      <c r="G210" s="62" t="s">
        <v>88</v>
      </c>
      <c r="H210" s="63" t="s">
        <v>2</v>
      </c>
      <c r="I210" s="63">
        <v>1.0</v>
      </c>
      <c r="J210" s="64" t="s">
        <v>228</v>
      </c>
      <c r="K210" s="65">
        <v>1.0</v>
      </c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>
      <c r="A211" s="32"/>
      <c r="B211" s="47"/>
      <c r="H211" s="51" t="s">
        <v>30</v>
      </c>
      <c r="I211" s="51">
        <v>1.0</v>
      </c>
      <c r="J211" s="52" t="s">
        <v>234</v>
      </c>
      <c r="K211" s="50">
        <v>1.0</v>
      </c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>
      <c r="A212" s="32"/>
      <c r="B212" s="47"/>
      <c r="H212" s="51" t="s">
        <v>23</v>
      </c>
      <c r="I212" s="51">
        <v>1.0</v>
      </c>
      <c r="J212" s="52" t="s">
        <v>245</v>
      </c>
      <c r="K212" s="50">
        <v>1.0</v>
      </c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>
      <c r="A213" s="32"/>
      <c r="B213" s="47"/>
      <c r="H213" s="51" t="s">
        <v>238</v>
      </c>
      <c r="I213" s="51">
        <v>1.0</v>
      </c>
      <c r="J213" s="52" t="s">
        <v>239</v>
      </c>
      <c r="K213" s="50">
        <v>1.0</v>
      </c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>
      <c r="A214" s="32"/>
      <c r="B214" s="47"/>
      <c r="H214" s="51" t="s">
        <v>229</v>
      </c>
      <c r="I214" s="51">
        <v>1.0</v>
      </c>
      <c r="J214" s="52" t="s">
        <v>230</v>
      </c>
      <c r="K214" s="50">
        <v>1.0</v>
      </c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>
      <c r="A215" s="32"/>
      <c r="B215" s="53"/>
      <c r="C215" s="54"/>
      <c r="D215" s="54"/>
      <c r="E215" s="54"/>
      <c r="F215" s="54"/>
      <c r="G215" s="54"/>
      <c r="H215" s="55" t="s">
        <v>246</v>
      </c>
      <c r="I215" s="55">
        <v>1.0</v>
      </c>
      <c r="J215" s="56" t="s">
        <v>247</v>
      </c>
      <c r="K215" s="57">
        <v>1.0</v>
      </c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>
      <c r="A216" s="32"/>
      <c r="B216" s="59" t="s">
        <v>140</v>
      </c>
      <c r="C216" s="60">
        <v>46122.0</v>
      </c>
      <c r="D216" s="61">
        <v>0.47399305555555554</v>
      </c>
      <c r="E216" s="62" t="s">
        <v>187</v>
      </c>
      <c r="F216" s="62" t="s">
        <v>87</v>
      </c>
      <c r="G216" s="62" t="s">
        <v>88</v>
      </c>
      <c r="H216" s="63" t="s">
        <v>2</v>
      </c>
      <c r="I216" s="63">
        <v>1.0</v>
      </c>
      <c r="J216" s="64" t="s">
        <v>228</v>
      </c>
      <c r="K216" s="65">
        <v>1.0</v>
      </c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>
      <c r="A217" s="32"/>
      <c r="B217" s="47"/>
      <c r="H217" s="51" t="s">
        <v>30</v>
      </c>
      <c r="I217" s="51">
        <v>1.0</v>
      </c>
      <c r="J217" s="52" t="s">
        <v>234</v>
      </c>
      <c r="K217" s="50">
        <v>1.0</v>
      </c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>
      <c r="A218" s="32"/>
      <c r="B218" s="47"/>
      <c r="H218" s="51" t="s">
        <v>229</v>
      </c>
      <c r="I218" s="51">
        <v>1.0</v>
      </c>
      <c r="J218" s="52" t="s">
        <v>230</v>
      </c>
      <c r="K218" s="50">
        <v>1.0</v>
      </c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>
      <c r="A219" s="32"/>
      <c r="B219" s="47"/>
      <c r="H219" s="51" t="s">
        <v>238</v>
      </c>
      <c r="I219" s="51">
        <v>1.0</v>
      </c>
      <c r="J219" s="52" t="s">
        <v>239</v>
      </c>
      <c r="K219" s="50">
        <v>1.0</v>
      </c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>
      <c r="A220" s="32"/>
      <c r="B220" s="53"/>
      <c r="C220" s="54"/>
      <c r="D220" s="54"/>
      <c r="E220" s="54"/>
      <c r="F220" s="54"/>
      <c r="G220" s="54"/>
      <c r="H220" s="66" t="s">
        <v>240</v>
      </c>
      <c r="I220" s="66">
        <v>1.0</v>
      </c>
      <c r="J220" s="88" t="s">
        <v>241</v>
      </c>
      <c r="K220" s="78">
        <v>1.0</v>
      </c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>
      <c r="A221" s="32"/>
      <c r="B221" s="59" t="s">
        <v>142</v>
      </c>
      <c r="C221" s="60">
        <v>46122.0</v>
      </c>
      <c r="D221" s="61">
        <v>0.47627314814814814</v>
      </c>
      <c r="E221" s="62" t="s">
        <v>187</v>
      </c>
      <c r="F221" s="62" t="s">
        <v>87</v>
      </c>
      <c r="G221" s="62" t="s">
        <v>88</v>
      </c>
      <c r="H221" s="63" t="s">
        <v>2</v>
      </c>
      <c r="I221" s="63">
        <v>1.0</v>
      </c>
      <c r="J221" s="64" t="s">
        <v>228</v>
      </c>
      <c r="K221" s="65">
        <v>1.0</v>
      </c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>
      <c r="A222" s="32"/>
      <c r="B222" s="47"/>
      <c r="H222" s="66" t="s">
        <v>128</v>
      </c>
      <c r="I222" s="66">
        <v>1.0</v>
      </c>
      <c r="J222" s="49" t="s">
        <v>231</v>
      </c>
      <c r="K222" s="50">
        <v>1.0</v>
      </c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>
      <c r="A223" s="32"/>
      <c r="B223" s="47"/>
      <c r="H223" s="51" t="s">
        <v>235</v>
      </c>
      <c r="I223" s="51">
        <v>1.0</v>
      </c>
      <c r="J223" s="52" t="s">
        <v>236</v>
      </c>
      <c r="K223" s="50">
        <v>1.0</v>
      </c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>
      <c r="A224" s="32"/>
      <c r="B224" s="47"/>
      <c r="H224" s="51" t="s">
        <v>248</v>
      </c>
      <c r="I224" s="51">
        <v>1.0</v>
      </c>
      <c r="J224" s="52" t="s">
        <v>249</v>
      </c>
      <c r="K224" s="50">
        <v>1.0</v>
      </c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>
      <c r="A225" s="32"/>
      <c r="B225" s="47"/>
      <c r="H225" s="51" t="s">
        <v>229</v>
      </c>
      <c r="I225" s="51">
        <v>2.0</v>
      </c>
      <c r="J225" s="52" t="s">
        <v>230</v>
      </c>
      <c r="K225" s="50">
        <v>2.0</v>
      </c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>
      <c r="A226" s="32"/>
      <c r="B226" s="47"/>
      <c r="H226" s="51" t="s">
        <v>242</v>
      </c>
      <c r="I226" s="51">
        <v>1.0</v>
      </c>
      <c r="J226" s="52" t="s">
        <v>243</v>
      </c>
      <c r="K226" s="50">
        <v>1.0</v>
      </c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>
      <c r="A227" s="32"/>
      <c r="B227" s="47"/>
      <c r="H227" s="51" t="s">
        <v>30</v>
      </c>
      <c r="I227" s="51">
        <v>1.0</v>
      </c>
      <c r="J227" s="52" t="s">
        <v>234</v>
      </c>
      <c r="K227" s="50">
        <v>1.0</v>
      </c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>
      <c r="A228" s="32"/>
      <c r="B228" s="53"/>
      <c r="C228" s="54"/>
      <c r="D228" s="54"/>
      <c r="E228" s="54"/>
      <c r="F228" s="54"/>
      <c r="G228" s="54"/>
      <c r="H228" s="51" t="s">
        <v>23</v>
      </c>
      <c r="I228" s="51">
        <v>1.0</v>
      </c>
      <c r="J228" s="52" t="s">
        <v>245</v>
      </c>
      <c r="K228" s="50">
        <v>1.0</v>
      </c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>
      <c r="A229" s="32"/>
      <c r="B229" s="59" t="s">
        <v>145</v>
      </c>
      <c r="C229" s="60">
        <v>46122.0</v>
      </c>
      <c r="D229" s="61">
        <v>0.4815277777777778</v>
      </c>
      <c r="E229" s="62" t="s">
        <v>187</v>
      </c>
      <c r="F229" s="62" t="s">
        <v>87</v>
      </c>
      <c r="G229" s="62" t="s">
        <v>88</v>
      </c>
      <c r="H229" s="62" t="s">
        <v>2</v>
      </c>
      <c r="I229" s="62">
        <v>3.0</v>
      </c>
      <c r="J229" s="64" t="s">
        <v>228</v>
      </c>
      <c r="K229" s="65">
        <v>2.0</v>
      </c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>
      <c r="A230" s="32"/>
      <c r="B230" s="47"/>
      <c r="H230" s="48"/>
      <c r="I230" s="48"/>
      <c r="J230" s="45" t="s">
        <v>250</v>
      </c>
      <c r="K230" s="46">
        <v>1.0</v>
      </c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>
      <c r="A231" s="32"/>
      <c r="B231" s="47"/>
      <c r="H231" s="51" t="s">
        <v>251</v>
      </c>
      <c r="I231" s="51">
        <v>1.0</v>
      </c>
      <c r="J231" s="52" t="s">
        <v>252</v>
      </c>
      <c r="K231" s="50">
        <v>1.0</v>
      </c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>
      <c r="A232" s="32"/>
      <c r="B232" s="47"/>
      <c r="H232" s="51" t="s">
        <v>30</v>
      </c>
      <c r="I232" s="51">
        <v>1.0</v>
      </c>
      <c r="J232" s="52" t="s">
        <v>234</v>
      </c>
      <c r="K232" s="50">
        <v>1.0</v>
      </c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>
      <c r="A233" s="32"/>
      <c r="B233" s="47"/>
      <c r="H233" s="85" t="s">
        <v>253</v>
      </c>
      <c r="I233" s="85">
        <v>1.0</v>
      </c>
      <c r="J233" s="52" t="s">
        <v>254</v>
      </c>
      <c r="K233" s="50">
        <v>1.0</v>
      </c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>
      <c r="A234" s="32"/>
      <c r="B234" s="47"/>
      <c r="H234" s="30" t="s">
        <v>255</v>
      </c>
      <c r="I234" s="30">
        <v>1.0</v>
      </c>
      <c r="J234" s="88" t="s">
        <v>256</v>
      </c>
      <c r="K234" s="78">
        <v>1.0</v>
      </c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>
      <c r="A235" s="32"/>
      <c r="B235" s="53"/>
      <c r="C235" s="54"/>
      <c r="D235" s="54"/>
      <c r="E235" s="54"/>
      <c r="F235" s="54"/>
      <c r="G235" s="54"/>
      <c r="H235" s="55" t="s">
        <v>143</v>
      </c>
      <c r="I235" s="55">
        <v>1.0</v>
      </c>
      <c r="J235" s="56" t="s">
        <v>237</v>
      </c>
      <c r="K235" s="57">
        <v>1.0</v>
      </c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>
      <c r="A236" s="32"/>
      <c r="B236" s="59" t="s">
        <v>149</v>
      </c>
      <c r="C236" s="60">
        <v>46122.0</v>
      </c>
      <c r="D236" s="61">
        <v>0.48672453703703705</v>
      </c>
      <c r="E236" s="62" t="s">
        <v>187</v>
      </c>
      <c r="F236" s="62" t="s">
        <v>87</v>
      </c>
      <c r="G236" s="62" t="s">
        <v>88</v>
      </c>
      <c r="H236" s="63" t="s">
        <v>2</v>
      </c>
      <c r="I236" s="63">
        <v>1.0</v>
      </c>
      <c r="J236" s="64" t="s">
        <v>228</v>
      </c>
      <c r="K236" s="65">
        <v>1.0</v>
      </c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>
      <c r="A237" s="32"/>
      <c r="B237" s="47"/>
      <c r="H237" s="51" t="s">
        <v>30</v>
      </c>
      <c r="I237" s="51">
        <v>1.0</v>
      </c>
      <c r="J237" s="52" t="s">
        <v>234</v>
      </c>
      <c r="K237" s="50">
        <v>1.0</v>
      </c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>
      <c r="A238" s="32"/>
      <c r="B238" s="47"/>
      <c r="H238" s="51" t="s">
        <v>257</v>
      </c>
      <c r="I238" s="51">
        <v>1.0</v>
      </c>
      <c r="J238" s="52" t="s">
        <v>258</v>
      </c>
      <c r="K238" s="50">
        <v>1.0</v>
      </c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>
      <c r="A239" s="32"/>
      <c r="B239" s="53"/>
      <c r="C239" s="54"/>
      <c r="D239" s="54"/>
      <c r="E239" s="54"/>
      <c r="F239" s="54"/>
      <c r="G239" s="54"/>
      <c r="H239" s="55" t="s">
        <v>128</v>
      </c>
      <c r="I239" s="55">
        <v>1.0</v>
      </c>
      <c r="J239" s="56" t="s">
        <v>259</v>
      </c>
      <c r="K239" s="57">
        <v>1.0</v>
      </c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>
      <c r="A240" s="32"/>
      <c r="B240" s="59" t="s">
        <v>155</v>
      </c>
      <c r="C240" s="60">
        <v>46122.0</v>
      </c>
      <c r="D240" s="61">
        <v>0.48921296296296296</v>
      </c>
      <c r="E240" s="62" t="s">
        <v>260</v>
      </c>
      <c r="F240" s="62" t="s">
        <v>87</v>
      </c>
      <c r="G240" s="62" t="s">
        <v>88</v>
      </c>
      <c r="H240" s="63" t="s">
        <v>2</v>
      </c>
      <c r="I240" s="63">
        <v>1.0</v>
      </c>
      <c r="J240" s="64" t="s">
        <v>228</v>
      </c>
      <c r="K240" s="65">
        <v>1.0</v>
      </c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>
      <c r="A241" s="32"/>
      <c r="B241" s="47"/>
      <c r="H241" s="51" t="s">
        <v>23</v>
      </c>
      <c r="I241" s="51">
        <v>1.0</v>
      </c>
      <c r="J241" s="52" t="s">
        <v>245</v>
      </c>
      <c r="K241" s="50">
        <v>1.0</v>
      </c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>
      <c r="A242" s="32"/>
      <c r="B242" s="53"/>
      <c r="C242" s="54"/>
      <c r="D242" s="54"/>
      <c r="E242" s="54"/>
      <c r="F242" s="54"/>
      <c r="G242" s="54"/>
      <c r="H242" s="55" t="s">
        <v>197</v>
      </c>
      <c r="I242" s="55">
        <v>1.0</v>
      </c>
      <c r="J242" s="56" t="s">
        <v>261</v>
      </c>
      <c r="K242" s="57">
        <v>1.0</v>
      </c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>
      <c r="A243" s="32"/>
      <c r="B243" s="59" t="s">
        <v>158</v>
      </c>
      <c r="C243" s="60">
        <v>46122.0</v>
      </c>
      <c r="D243" s="61">
        <v>0.491099537037037</v>
      </c>
      <c r="E243" s="62" t="s">
        <v>187</v>
      </c>
      <c r="F243" s="62" t="s">
        <v>87</v>
      </c>
      <c r="G243" s="62" t="s">
        <v>88</v>
      </c>
      <c r="H243" s="63" t="s">
        <v>257</v>
      </c>
      <c r="I243" s="63">
        <v>1.0</v>
      </c>
      <c r="J243" s="64" t="s">
        <v>262</v>
      </c>
      <c r="K243" s="65">
        <v>1.0</v>
      </c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>
      <c r="A244" s="32"/>
      <c r="B244" s="47"/>
      <c r="H244" s="90" t="s">
        <v>30</v>
      </c>
      <c r="I244" s="66">
        <v>2.0</v>
      </c>
      <c r="J244" s="49" t="s">
        <v>234</v>
      </c>
      <c r="K244" s="50">
        <v>1.0</v>
      </c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>
      <c r="A245" s="32"/>
      <c r="B245" s="47"/>
      <c r="H245" s="48"/>
      <c r="I245" s="48"/>
      <c r="J245" s="52" t="s">
        <v>263</v>
      </c>
      <c r="K245" s="50">
        <v>1.0</v>
      </c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>
      <c r="A246" s="32"/>
      <c r="B246" s="47"/>
      <c r="H246" s="51" t="s">
        <v>264</v>
      </c>
      <c r="I246" s="51">
        <v>1.0</v>
      </c>
      <c r="J246" s="52" t="s">
        <v>265</v>
      </c>
      <c r="K246" s="50">
        <v>1.0</v>
      </c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>
      <c r="A247" s="32"/>
      <c r="B247" s="53"/>
      <c r="C247" s="54"/>
      <c r="D247" s="54"/>
      <c r="E247" s="54"/>
      <c r="F247" s="54"/>
      <c r="G247" s="54"/>
      <c r="H247" s="51" t="s">
        <v>19</v>
      </c>
      <c r="I247" s="51">
        <v>1.0</v>
      </c>
      <c r="J247" s="52" t="s">
        <v>266</v>
      </c>
      <c r="K247" s="50">
        <v>1.0</v>
      </c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>
      <c r="A248" s="32"/>
      <c r="B248" s="59" t="s">
        <v>161</v>
      </c>
      <c r="C248" s="60">
        <v>46122.0</v>
      </c>
      <c r="D248" s="61">
        <v>0.49453703703703705</v>
      </c>
      <c r="E248" s="62" t="s">
        <v>187</v>
      </c>
      <c r="F248" s="62" t="s">
        <v>87</v>
      </c>
      <c r="G248" s="62" t="s">
        <v>88</v>
      </c>
      <c r="H248" s="63" t="s">
        <v>267</v>
      </c>
      <c r="I248" s="63">
        <v>1.0</v>
      </c>
      <c r="J248" s="64" t="s">
        <v>268</v>
      </c>
      <c r="K248" s="65">
        <v>1.0</v>
      </c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>
      <c r="A249" s="32"/>
      <c r="B249" s="47"/>
      <c r="H249" s="74" t="s">
        <v>173</v>
      </c>
      <c r="I249" s="51">
        <v>1.0</v>
      </c>
      <c r="J249" s="49" t="s">
        <v>269</v>
      </c>
      <c r="K249" s="50">
        <v>1.0</v>
      </c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>
      <c r="A250" s="32"/>
      <c r="B250" s="47"/>
      <c r="H250" s="51" t="s">
        <v>116</v>
      </c>
      <c r="I250" s="51">
        <v>1.0</v>
      </c>
      <c r="J250" s="52" t="s">
        <v>270</v>
      </c>
      <c r="K250" s="50">
        <v>1.0</v>
      </c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>
      <c r="A251" s="32"/>
      <c r="B251" s="47"/>
      <c r="H251" s="66" t="s">
        <v>11</v>
      </c>
      <c r="I251" s="66">
        <v>1.0</v>
      </c>
      <c r="J251" s="77" t="s">
        <v>271</v>
      </c>
      <c r="K251" s="78">
        <v>1.0</v>
      </c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>
      <c r="A252" s="32"/>
      <c r="B252" s="47"/>
      <c r="H252" s="66" t="s">
        <v>272</v>
      </c>
      <c r="I252" s="66">
        <v>1.0</v>
      </c>
      <c r="J252" s="88" t="s">
        <v>273</v>
      </c>
      <c r="K252" s="78">
        <v>1.0</v>
      </c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>
      <c r="A253" s="32"/>
      <c r="B253" s="53"/>
      <c r="C253" s="54"/>
      <c r="D253" s="54"/>
      <c r="E253" s="54"/>
      <c r="F253" s="54"/>
      <c r="G253" s="54"/>
      <c r="H253" s="55" t="s">
        <v>21</v>
      </c>
      <c r="I253" s="55">
        <v>1.0</v>
      </c>
      <c r="J253" s="76" t="s">
        <v>274</v>
      </c>
      <c r="K253" s="57">
        <v>1.0</v>
      </c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>
      <c r="A254" s="32"/>
      <c r="B254" s="59" t="s">
        <v>167</v>
      </c>
      <c r="C254" s="60">
        <v>46123.0</v>
      </c>
      <c r="D254" s="61">
        <v>0.6216087962962963</v>
      </c>
      <c r="E254" s="62" t="s">
        <v>187</v>
      </c>
      <c r="F254" s="62" t="s">
        <v>87</v>
      </c>
      <c r="G254" s="62" t="s">
        <v>88</v>
      </c>
      <c r="H254" s="63" t="s">
        <v>267</v>
      </c>
      <c r="I254" s="63">
        <v>1.0</v>
      </c>
      <c r="J254" s="64" t="s">
        <v>268</v>
      </c>
      <c r="K254" s="65">
        <v>1.0</v>
      </c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>
      <c r="A255" s="32"/>
      <c r="B255" s="47"/>
      <c r="H255" s="74" t="s">
        <v>21</v>
      </c>
      <c r="I255" s="51">
        <v>1.0</v>
      </c>
      <c r="J255" s="52" t="s">
        <v>274</v>
      </c>
      <c r="K255" s="50">
        <v>1.0</v>
      </c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>
      <c r="A256" s="32"/>
      <c r="B256" s="47"/>
      <c r="H256" s="74" t="s">
        <v>173</v>
      </c>
      <c r="I256" s="51">
        <v>1.0</v>
      </c>
      <c r="J256" s="49" t="s">
        <v>269</v>
      </c>
      <c r="K256" s="50">
        <v>1.0</v>
      </c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>
      <c r="A257" s="32"/>
      <c r="B257" s="47"/>
      <c r="H257" s="66" t="s">
        <v>275</v>
      </c>
      <c r="I257" s="66">
        <v>1.0</v>
      </c>
      <c r="J257" s="88" t="s">
        <v>276</v>
      </c>
      <c r="K257" s="78">
        <v>1.0</v>
      </c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>
      <c r="A258" s="32"/>
      <c r="B258" s="47"/>
      <c r="H258" s="51" t="s">
        <v>116</v>
      </c>
      <c r="I258" s="51">
        <v>1.0</v>
      </c>
      <c r="J258" s="52" t="s">
        <v>270</v>
      </c>
      <c r="K258" s="50">
        <v>1.0</v>
      </c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>
      <c r="A259" s="32"/>
      <c r="B259" s="47"/>
      <c r="H259" s="66" t="s">
        <v>22</v>
      </c>
      <c r="I259" s="66">
        <v>2.0</v>
      </c>
      <c r="J259" s="88" t="s">
        <v>277</v>
      </c>
      <c r="K259" s="78">
        <v>2.0</v>
      </c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>
      <c r="A260" s="32"/>
      <c r="B260" s="53"/>
      <c r="C260" s="54"/>
      <c r="D260" s="54"/>
      <c r="E260" s="54"/>
      <c r="F260" s="54"/>
      <c r="G260" s="54"/>
      <c r="H260" s="55" t="s">
        <v>8</v>
      </c>
      <c r="I260" s="55">
        <v>1.0</v>
      </c>
      <c r="J260" s="56" t="s">
        <v>278</v>
      </c>
      <c r="K260" s="57">
        <v>1.0</v>
      </c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>
      <c r="A261" s="32"/>
      <c r="B261" s="59" t="s">
        <v>169</v>
      </c>
      <c r="C261" s="60">
        <v>46123.0</v>
      </c>
      <c r="D261" s="61">
        <v>0.6255671296296297</v>
      </c>
      <c r="E261" s="62" t="s">
        <v>187</v>
      </c>
      <c r="F261" s="62" t="s">
        <v>87</v>
      </c>
      <c r="G261" s="62" t="s">
        <v>88</v>
      </c>
      <c r="H261" s="63" t="s">
        <v>267</v>
      </c>
      <c r="I261" s="63">
        <v>1.0</v>
      </c>
      <c r="J261" s="64" t="s">
        <v>268</v>
      </c>
      <c r="K261" s="65">
        <v>1.0</v>
      </c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>
      <c r="A262" s="32"/>
      <c r="B262" s="47"/>
      <c r="H262" s="74" t="s">
        <v>21</v>
      </c>
      <c r="I262" s="51">
        <v>1.0</v>
      </c>
      <c r="J262" s="52" t="s">
        <v>274</v>
      </c>
      <c r="K262" s="50">
        <v>1.0</v>
      </c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>
      <c r="A263" s="32"/>
      <c r="B263" s="47"/>
      <c r="H263" s="51" t="s">
        <v>6</v>
      </c>
      <c r="I263" s="51">
        <v>1.0</v>
      </c>
      <c r="J263" s="52" t="s">
        <v>279</v>
      </c>
      <c r="K263" s="50">
        <v>1.0</v>
      </c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>
      <c r="A264" s="32"/>
      <c r="B264" s="47"/>
      <c r="H264" s="66" t="s">
        <v>11</v>
      </c>
      <c r="I264" s="66">
        <v>1.0</v>
      </c>
      <c r="J264" s="77" t="s">
        <v>271</v>
      </c>
      <c r="K264" s="78">
        <v>1.0</v>
      </c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>
      <c r="A265" s="32"/>
      <c r="B265" s="47"/>
      <c r="H265" s="66" t="s">
        <v>272</v>
      </c>
      <c r="I265" s="66">
        <v>1.0</v>
      </c>
      <c r="J265" s="88" t="s">
        <v>273</v>
      </c>
      <c r="K265" s="78">
        <v>1.0</v>
      </c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>
      <c r="A266" s="32"/>
      <c r="B266" s="47"/>
      <c r="H266" s="51" t="s">
        <v>116</v>
      </c>
      <c r="I266" s="51">
        <v>1.0</v>
      </c>
      <c r="J266" s="52" t="s">
        <v>270</v>
      </c>
      <c r="K266" s="50">
        <v>1.0</v>
      </c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>
      <c r="A267" s="32"/>
      <c r="B267" s="53"/>
      <c r="C267" s="54"/>
      <c r="D267" s="54"/>
      <c r="E267" s="54"/>
      <c r="F267" s="54"/>
      <c r="G267" s="54"/>
      <c r="H267" s="55" t="s">
        <v>26</v>
      </c>
      <c r="I267" s="55">
        <v>1.0</v>
      </c>
      <c r="J267" s="76" t="s">
        <v>280</v>
      </c>
      <c r="K267" s="57">
        <v>1.0</v>
      </c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>
      <c r="A268" s="32"/>
      <c r="B268" s="59" t="s">
        <v>171</v>
      </c>
      <c r="C268" s="60">
        <v>46123.0</v>
      </c>
      <c r="D268" s="61">
        <v>0.6290740740740741</v>
      </c>
      <c r="E268" s="62" t="s">
        <v>187</v>
      </c>
      <c r="F268" s="62" t="s">
        <v>87</v>
      </c>
      <c r="G268" s="62" t="s">
        <v>88</v>
      </c>
      <c r="H268" s="63" t="s">
        <v>267</v>
      </c>
      <c r="I268" s="63">
        <v>1.0</v>
      </c>
      <c r="J268" s="64" t="s">
        <v>268</v>
      </c>
      <c r="K268" s="65">
        <v>1.0</v>
      </c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>
      <c r="A269" s="32"/>
      <c r="B269" s="47"/>
      <c r="H269" s="66" t="s">
        <v>275</v>
      </c>
      <c r="I269" s="66">
        <v>1.0</v>
      </c>
      <c r="J269" s="88" t="s">
        <v>276</v>
      </c>
      <c r="K269" s="78">
        <v>1.0</v>
      </c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>
      <c r="A270" s="32"/>
      <c r="B270" s="47"/>
      <c r="H270" s="74" t="s">
        <v>21</v>
      </c>
      <c r="I270" s="51">
        <v>1.0</v>
      </c>
      <c r="J270" s="52" t="s">
        <v>274</v>
      </c>
      <c r="K270" s="50">
        <v>1.0</v>
      </c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>
      <c r="A271" s="32"/>
      <c r="B271" s="53"/>
      <c r="C271" s="54"/>
      <c r="D271" s="54"/>
      <c r="E271" s="54"/>
      <c r="F271" s="54"/>
      <c r="G271" s="54"/>
      <c r="H271" s="51" t="s">
        <v>116</v>
      </c>
      <c r="I271" s="51">
        <v>1.0</v>
      </c>
      <c r="J271" s="52" t="s">
        <v>270</v>
      </c>
      <c r="K271" s="50">
        <v>1.0</v>
      </c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>
      <c r="A272" s="32"/>
      <c r="B272" s="59" t="s">
        <v>172</v>
      </c>
      <c r="C272" s="60">
        <v>46123.0</v>
      </c>
      <c r="D272" s="61">
        <v>0.6306712962962963</v>
      </c>
      <c r="E272" s="62" t="s">
        <v>187</v>
      </c>
      <c r="F272" s="62" t="s">
        <v>87</v>
      </c>
      <c r="G272" s="62" t="s">
        <v>88</v>
      </c>
      <c r="H272" s="63" t="s">
        <v>281</v>
      </c>
      <c r="I272" s="63">
        <v>1.0</v>
      </c>
      <c r="J272" s="75" t="s">
        <v>282</v>
      </c>
      <c r="K272" s="65">
        <v>1.0</v>
      </c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>
      <c r="A273" s="32"/>
      <c r="B273" s="47"/>
      <c r="H273" s="85" t="s">
        <v>283</v>
      </c>
      <c r="I273" s="85">
        <v>1.0</v>
      </c>
      <c r="J273" s="45" t="s">
        <v>284</v>
      </c>
      <c r="K273" s="46">
        <v>1.0</v>
      </c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>
      <c r="A274" s="32"/>
      <c r="B274" s="47"/>
      <c r="H274" s="30" t="s">
        <v>285</v>
      </c>
      <c r="I274" s="30">
        <v>2.0</v>
      </c>
      <c r="J274" s="45" t="s">
        <v>286</v>
      </c>
      <c r="K274" s="46">
        <v>1.0</v>
      </c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>
      <c r="A275" s="32"/>
      <c r="B275" s="47"/>
      <c r="H275" s="48"/>
      <c r="I275" s="48"/>
      <c r="J275" s="45" t="s">
        <v>287</v>
      </c>
      <c r="K275" s="46">
        <v>1.0</v>
      </c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>
      <c r="A276" s="32"/>
      <c r="B276" s="47"/>
      <c r="H276" s="85" t="s">
        <v>288</v>
      </c>
      <c r="I276" s="85">
        <v>1.0</v>
      </c>
      <c r="J276" s="45" t="s">
        <v>289</v>
      </c>
      <c r="K276" s="46">
        <v>1.0</v>
      </c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>
      <c r="A277" s="32"/>
      <c r="B277" s="47"/>
      <c r="H277" s="85" t="s">
        <v>290</v>
      </c>
      <c r="I277" s="85">
        <v>1.0</v>
      </c>
      <c r="J277" s="45" t="s">
        <v>291</v>
      </c>
      <c r="K277" s="46">
        <v>1.0</v>
      </c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>
      <c r="A278" s="32"/>
      <c r="B278" s="47"/>
      <c r="H278" s="51" t="s">
        <v>292</v>
      </c>
      <c r="I278" s="51">
        <v>1.0</v>
      </c>
      <c r="J278" s="52" t="s">
        <v>293</v>
      </c>
      <c r="K278" s="50">
        <v>1.0</v>
      </c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>
      <c r="A279" s="32"/>
      <c r="B279" s="53"/>
      <c r="C279" s="54"/>
      <c r="D279" s="54"/>
      <c r="E279" s="54"/>
      <c r="F279" s="54"/>
      <c r="G279" s="54"/>
      <c r="H279" s="51" t="s">
        <v>294</v>
      </c>
      <c r="I279" s="51">
        <v>1.0</v>
      </c>
      <c r="J279" s="49" t="s">
        <v>295</v>
      </c>
      <c r="K279" s="50">
        <v>1.0</v>
      </c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>
      <c r="A280" s="32"/>
      <c r="B280" s="59" t="s">
        <v>175</v>
      </c>
      <c r="C280" s="60">
        <v>46123.0</v>
      </c>
      <c r="D280" s="61">
        <v>0.6359837962962963</v>
      </c>
      <c r="E280" s="62" t="s">
        <v>187</v>
      </c>
      <c r="F280" s="62" t="s">
        <v>87</v>
      </c>
      <c r="G280" s="62" t="s">
        <v>88</v>
      </c>
      <c r="H280" s="63" t="s">
        <v>116</v>
      </c>
      <c r="I280" s="63">
        <v>1.0</v>
      </c>
      <c r="J280" s="64" t="s">
        <v>270</v>
      </c>
      <c r="K280" s="65">
        <v>1.0</v>
      </c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>
      <c r="A281" s="32"/>
      <c r="B281" s="47"/>
      <c r="H281" s="51" t="s">
        <v>267</v>
      </c>
      <c r="I281" s="51">
        <v>1.0</v>
      </c>
      <c r="J281" s="52" t="s">
        <v>268</v>
      </c>
      <c r="K281" s="50">
        <v>1.0</v>
      </c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>
      <c r="A282" s="32"/>
      <c r="B282" s="47"/>
      <c r="H282" s="66" t="s">
        <v>11</v>
      </c>
      <c r="I282" s="66">
        <v>1.0</v>
      </c>
      <c r="J282" s="77" t="s">
        <v>271</v>
      </c>
      <c r="K282" s="78">
        <v>1.0</v>
      </c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>
      <c r="A283" s="32"/>
      <c r="B283" s="53"/>
      <c r="C283" s="54"/>
      <c r="D283" s="54"/>
      <c r="E283" s="54"/>
      <c r="F283" s="54"/>
      <c r="G283" s="54"/>
      <c r="H283" s="66" t="s">
        <v>22</v>
      </c>
      <c r="I283" s="66">
        <v>1.0</v>
      </c>
      <c r="J283" s="88" t="s">
        <v>277</v>
      </c>
      <c r="K283" s="78">
        <v>1.0</v>
      </c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>
      <c r="A284" s="32"/>
      <c r="B284" s="59" t="s">
        <v>180</v>
      </c>
      <c r="C284" s="60">
        <v>46123.0</v>
      </c>
      <c r="D284" s="61">
        <v>0.6383680555555555</v>
      </c>
      <c r="E284" s="62" t="s">
        <v>187</v>
      </c>
      <c r="F284" s="62" t="s">
        <v>87</v>
      </c>
      <c r="G284" s="62" t="s">
        <v>88</v>
      </c>
      <c r="H284" s="63" t="s">
        <v>267</v>
      </c>
      <c r="I284" s="63">
        <v>1.0</v>
      </c>
      <c r="J284" s="64" t="s">
        <v>268</v>
      </c>
      <c r="K284" s="65">
        <v>1.0</v>
      </c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>
      <c r="A285" s="32"/>
      <c r="B285" s="47"/>
      <c r="H285" s="74" t="s">
        <v>173</v>
      </c>
      <c r="I285" s="51">
        <v>1.0</v>
      </c>
      <c r="J285" s="49" t="s">
        <v>269</v>
      </c>
      <c r="K285" s="50">
        <v>1.0</v>
      </c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>
      <c r="A286" s="32"/>
      <c r="B286" s="47"/>
      <c r="H286" s="66" t="s">
        <v>272</v>
      </c>
      <c r="I286" s="66">
        <v>1.0</v>
      </c>
      <c r="J286" s="88" t="s">
        <v>273</v>
      </c>
      <c r="K286" s="78">
        <v>1.0</v>
      </c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>
      <c r="A287" s="32"/>
      <c r="B287" s="53"/>
      <c r="C287" s="54"/>
      <c r="D287" s="54"/>
      <c r="E287" s="54"/>
      <c r="F287" s="54"/>
      <c r="G287" s="54"/>
      <c r="H287" s="66" t="s">
        <v>22</v>
      </c>
      <c r="I287" s="66">
        <v>1.0</v>
      </c>
      <c r="J287" s="88" t="s">
        <v>277</v>
      </c>
      <c r="K287" s="78">
        <v>1.0</v>
      </c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>
      <c r="A288" s="32"/>
      <c r="B288" s="59" t="s">
        <v>182</v>
      </c>
      <c r="C288" s="60">
        <v>46123.0</v>
      </c>
      <c r="D288" s="61">
        <v>0.6402777777777777</v>
      </c>
      <c r="E288" s="62" t="s">
        <v>187</v>
      </c>
      <c r="F288" s="62" t="s">
        <v>87</v>
      </c>
      <c r="G288" s="62" t="s">
        <v>88</v>
      </c>
      <c r="H288" s="63" t="s">
        <v>116</v>
      </c>
      <c r="I288" s="63">
        <v>1.0</v>
      </c>
      <c r="J288" s="75" t="s">
        <v>270</v>
      </c>
      <c r="K288" s="65">
        <v>1.0</v>
      </c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>
      <c r="A289" s="32"/>
      <c r="B289" s="47"/>
      <c r="H289" s="66" t="s">
        <v>275</v>
      </c>
      <c r="I289" s="66">
        <v>1.0</v>
      </c>
      <c r="J289" s="88" t="s">
        <v>276</v>
      </c>
      <c r="K289" s="78">
        <v>1.0</v>
      </c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ht="15.0" customHeight="1">
      <c r="A290" s="32"/>
      <c r="B290" s="47"/>
      <c r="H290" s="51" t="s">
        <v>267</v>
      </c>
      <c r="I290" s="51">
        <v>1.0</v>
      </c>
      <c r="J290" s="52" t="s">
        <v>268</v>
      </c>
      <c r="K290" s="50">
        <v>1.0</v>
      </c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ht="15.0" customHeight="1">
      <c r="A291" s="32"/>
      <c r="B291" s="47"/>
      <c r="H291" s="74" t="s">
        <v>21</v>
      </c>
      <c r="I291" s="51">
        <v>1.0</v>
      </c>
      <c r="J291" s="52" t="s">
        <v>274</v>
      </c>
      <c r="K291" s="50">
        <v>1.0</v>
      </c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ht="15.0" customHeight="1">
      <c r="A292" s="32"/>
      <c r="B292" s="47"/>
      <c r="H292" s="66" t="s">
        <v>296</v>
      </c>
      <c r="I292" s="66">
        <v>1.0</v>
      </c>
      <c r="J292" s="88" t="s">
        <v>297</v>
      </c>
      <c r="K292" s="78">
        <v>1.0</v>
      </c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ht="15.0" customHeight="1">
      <c r="A293" s="32"/>
      <c r="B293" s="47"/>
      <c r="H293" s="74" t="s">
        <v>173</v>
      </c>
      <c r="I293" s="51">
        <v>1.0</v>
      </c>
      <c r="J293" s="49" t="s">
        <v>269</v>
      </c>
      <c r="K293" s="50">
        <v>1.0</v>
      </c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ht="15.0" customHeight="1">
      <c r="A294" s="32"/>
      <c r="B294" s="47"/>
      <c r="H294" s="66" t="s">
        <v>8</v>
      </c>
      <c r="I294" s="66">
        <v>1.0</v>
      </c>
      <c r="J294" s="88" t="s">
        <v>278</v>
      </c>
      <c r="K294" s="78">
        <v>1.0</v>
      </c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ht="15.0" customHeight="1">
      <c r="A295" s="32"/>
      <c r="B295" s="53"/>
      <c r="C295" s="54"/>
      <c r="D295" s="54"/>
      <c r="E295" s="54"/>
      <c r="F295" s="54"/>
      <c r="G295" s="54"/>
      <c r="H295" s="66" t="s">
        <v>22</v>
      </c>
      <c r="I295" s="66">
        <v>1.0</v>
      </c>
      <c r="J295" s="88" t="s">
        <v>277</v>
      </c>
      <c r="K295" s="78">
        <v>1.0</v>
      </c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>
      <c r="A296" s="32"/>
      <c r="B296" s="59" t="s">
        <v>183</v>
      </c>
      <c r="C296" s="60">
        <v>46123.0</v>
      </c>
      <c r="D296" s="61">
        <v>0.6448726851851851</v>
      </c>
      <c r="E296" s="62" t="s">
        <v>187</v>
      </c>
      <c r="F296" s="62" t="s">
        <v>87</v>
      </c>
      <c r="G296" s="62" t="s">
        <v>88</v>
      </c>
      <c r="H296" s="63" t="s">
        <v>116</v>
      </c>
      <c r="I296" s="63">
        <v>1.0</v>
      </c>
      <c r="J296" s="64" t="s">
        <v>270</v>
      </c>
      <c r="K296" s="65">
        <v>1.0</v>
      </c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>
      <c r="A297" s="32"/>
      <c r="B297" s="47"/>
      <c r="H297" s="51" t="s">
        <v>267</v>
      </c>
      <c r="I297" s="51">
        <v>1.0</v>
      </c>
      <c r="J297" s="52" t="s">
        <v>268</v>
      </c>
      <c r="K297" s="50">
        <v>1.0</v>
      </c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>
      <c r="A298" s="32"/>
      <c r="B298" s="47"/>
      <c r="H298" s="30" t="s">
        <v>298</v>
      </c>
      <c r="I298" s="30">
        <v>2.0</v>
      </c>
      <c r="J298" s="45" t="s">
        <v>299</v>
      </c>
      <c r="K298" s="46">
        <v>1.0</v>
      </c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>
      <c r="A299" s="32"/>
      <c r="B299" s="47"/>
      <c r="H299" s="48"/>
      <c r="I299" s="48"/>
      <c r="J299" s="86" t="s">
        <v>300</v>
      </c>
      <c r="K299" s="87">
        <v>1.0</v>
      </c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>
      <c r="A300" s="32"/>
      <c r="B300" s="53"/>
      <c r="C300" s="54"/>
      <c r="D300" s="54"/>
      <c r="E300" s="54"/>
      <c r="F300" s="54"/>
      <c r="G300" s="54"/>
      <c r="H300" s="66" t="s">
        <v>272</v>
      </c>
      <c r="I300" s="66">
        <v>1.0</v>
      </c>
      <c r="J300" s="88" t="s">
        <v>273</v>
      </c>
      <c r="K300" s="78">
        <v>1.0</v>
      </c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>
      <c r="A301" s="32"/>
      <c r="B301" s="59" t="s">
        <v>186</v>
      </c>
      <c r="C301" s="60">
        <v>46123.0</v>
      </c>
      <c r="D301" s="61">
        <v>0.6473958333333333</v>
      </c>
      <c r="E301" s="62" t="s">
        <v>187</v>
      </c>
      <c r="F301" s="62" t="s">
        <v>87</v>
      </c>
      <c r="G301" s="62" t="s">
        <v>88</v>
      </c>
      <c r="H301" s="63" t="s">
        <v>11</v>
      </c>
      <c r="I301" s="63">
        <v>1.0</v>
      </c>
      <c r="J301" s="64" t="s">
        <v>271</v>
      </c>
      <c r="K301" s="65">
        <v>1.0</v>
      </c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>
      <c r="A302" s="32"/>
      <c r="B302" s="47"/>
      <c r="H302" s="66" t="s">
        <v>275</v>
      </c>
      <c r="I302" s="66">
        <v>1.0</v>
      </c>
      <c r="J302" s="88" t="s">
        <v>276</v>
      </c>
      <c r="K302" s="78">
        <v>1.0</v>
      </c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>
      <c r="A303" s="32"/>
      <c r="B303" s="79"/>
      <c r="C303" s="80"/>
      <c r="D303" s="80"/>
      <c r="E303" s="80"/>
      <c r="F303" s="80"/>
      <c r="G303" s="80"/>
      <c r="H303" s="81" t="s">
        <v>21</v>
      </c>
      <c r="I303" s="81">
        <v>1.0</v>
      </c>
      <c r="J303" s="82" t="s">
        <v>274</v>
      </c>
      <c r="K303" s="83">
        <v>1.0</v>
      </c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91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91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91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91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91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91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91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91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91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91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91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91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91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91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91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91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91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91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91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91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91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91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91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91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91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91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91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91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91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91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91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91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91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91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91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91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91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91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91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91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91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91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91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91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91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91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91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91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91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91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91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91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91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91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91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91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91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91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91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91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91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91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91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91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91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91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91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91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91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91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91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91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91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91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91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91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91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91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91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91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91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91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91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91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91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91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91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91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91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91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91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91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91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91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91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91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91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91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91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91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91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91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91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91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91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91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91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91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91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91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91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91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91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91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91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91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91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91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91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91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91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91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91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91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91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91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91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91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91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91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91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91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91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91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91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91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91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91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91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91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91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91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91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91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91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91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91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91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91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91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91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91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91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91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91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91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91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91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91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91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91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91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91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91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91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91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91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91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91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91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91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91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91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91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91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91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91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91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91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91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91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91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91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91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91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91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91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91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91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91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91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91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91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91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91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91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91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91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91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91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91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91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91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91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91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91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91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91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91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91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91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91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91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91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91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91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91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91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91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91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91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91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91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91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91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91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91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91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91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91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91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91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91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91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91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91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91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91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91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91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91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91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91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91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91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91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91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91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91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91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91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91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91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91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91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91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91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91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91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91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91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91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91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91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91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91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91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91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91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91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91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91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91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91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91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91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91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91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91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91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91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91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91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91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91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91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91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91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91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91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91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91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91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91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91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91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91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91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91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91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91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91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91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91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91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91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91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91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91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91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91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91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91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91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91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91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91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91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91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91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91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91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91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91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91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91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91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91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91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91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91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91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91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91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91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91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91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91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91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91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91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91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91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91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91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91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91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91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91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91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91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91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91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91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91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91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91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91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91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91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91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91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91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91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91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91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91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91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91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91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91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91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91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91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91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91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91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91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91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91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91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91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91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91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91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91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91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91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91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91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91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91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91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91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91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91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91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91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91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91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91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91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91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91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91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91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91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91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91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91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91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91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91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91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91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91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91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91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91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91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91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91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91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91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91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91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91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91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91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91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91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91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91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91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91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91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91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91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91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91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91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91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91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91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91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91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91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91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91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91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91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91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91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91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91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91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91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91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91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91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91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91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91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91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91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91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91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91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91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91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91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91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91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91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91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91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91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91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91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91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91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91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91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91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91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91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91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91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91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91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91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91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91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91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91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91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91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91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91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91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91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91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91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91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91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91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91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91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91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91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91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91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91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91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91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91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91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91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91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91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91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91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91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91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91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91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91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91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91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91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91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91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91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91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91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91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91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91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91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91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91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91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91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91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91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91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91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91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91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91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91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91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91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91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91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91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91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91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91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91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91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91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91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91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91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91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91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91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91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91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91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91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91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91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91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91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91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91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91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91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91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91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91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91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91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91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91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91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91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91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91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91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91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91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91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91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91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91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91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91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91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91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91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91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91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91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91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91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91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91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91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91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91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91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91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91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91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91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91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91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91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91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91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91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91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91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91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91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91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91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91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91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91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91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91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91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91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91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91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91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91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91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91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91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91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91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91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91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91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91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91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91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91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91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91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91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91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91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91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91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91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91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91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91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91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91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91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91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91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91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91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91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91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91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91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91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91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91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91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91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91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91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91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91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91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91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91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91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91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91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91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91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91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91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91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91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91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  <row r="1001">
      <c r="A1001" s="32"/>
      <c r="B1001" s="32"/>
      <c r="C1001" s="32"/>
      <c r="D1001" s="32"/>
      <c r="E1001" s="32"/>
      <c r="F1001" s="32"/>
      <c r="G1001" s="32"/>
      <c r="H1001" s="32"/>
      <c r="I1001" s="32"/>
      <c r="J1001" s="91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</row>
    <row r="1002">
      <c r="A1002" s="32"/>
      <c r="B1002" s="32"/>
      <c r="C1002" s="32"/>
      <c r="D1002" s="32"/>
      <c r="E1002" s="32"/>
      <c r="F1002" s="32"/>
      <c r="G1002" s="32"/>
      <c r="H1002" s="32"/>
      <c r="I1002" s="32"/>
      <c r="J1002" s="91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</row>
    <row r="1003">
      <c r="A1003" s="32"/>
      <c r="B1003" s="32"/>
      <c r="C1003" s="32"/>
      <c r="D1003" s="32"/>
      <c r="E1003" s="32"/>
      <c r="F1003" s="32"/>
      <c r="G1003" s="32"/>
      <c r="H1003" s="32"/>
      <c r="I1003" s="32"/>
      <c r="J1003" s="91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</row>
    <row r="1004">
      <c r="A1004" s="32"/>
      <c r="B1004" s="32"/>
      <c r="C1004" s="32"/>
      <c r="D1004" s="32"/>
      <c r="E1004" s="32"/>
      <c r="F1004" s="32"/>
      <c r="G1004" s="32"/>
      <c r="H1004" s="32"/>
      <c r="I1004" s="32"/>
      <c r="J1004" s="91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</row>
    <row r="1005">
      <c r="A1005" s="32"/>
      <c r="B1005" s="32"/>
      <c r="C1005" s="32"/>
      <c r="D1005" s="32"/>
      <c r="E1005" s="32"/>
      <c r="F1005" s="32"/>
      <c r="G1005" s="32"/>
      <c r="H1005" s="32"/>
      <c r="I1005" s="32"/>
      <c r="J1005" s="91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</row>
    <row r="1006">
      <c r="A1006" s="32"/>
      <c r="B1006" s="32"/>
      <c r="C1006" s="32"/>
      <c r="D1006" s="32"/>
      <c r="E1006" s="32"/>
      <c r="F1006" s="32"/>
      <c r="G1006" s="32"/>
      <c r="H1006" s="32"/>
      <c r="I1006" s="32"/>
      <c r="J1006" s="91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</row>
    <row r="1007">
      <c r="A1007" s="32"/>
      <c r="B1007" s="32"/>
      <c r="C1007" s="32"/>
      <c r="D1007" s="32"/>
      <c r="E1007" s="32"/>
      <c r="F1007" s="32"/>
      <c r="G1007" s="32"/>
      <c r="H1007" s="32"/>
      <c r="I1007" s="32"/>
      <c r="J1007" s="91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</row>
    <row r="1008">
      <c r="A1008" s="32"/>
      <c r="B1008" s="32"/>
      <c r="C1008" s="32"/>
      <c r="D1008" s="32"/>
      <c r="E1008" s="32"/>
      <c r="F1008" s="32"/>
      <c r="G1008" s="32"/>
      <c r="H1008" s="32"/>
      <c r="I1008" s="32"/>
      <c r="J1008" s="91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</row>
    <row r="1009">
      <c r="A1009" s="32"/>
      <c r="B1009" s="32"/>
      <c r="C1009" s="32"/>
      <c r="D1009" s="32"/>
      <c r="E1009" s="32"/>
      <c r="F1009" s="32"/>
      <c r="G1009" s="32"/>
      <c r="H1009" s="32"/>
      <c r="I1009" s="32"/>
      <c r="J1009" s="91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</row>
    <row r="1010">
      <c r="A1010" s="32"/>
      <c r="B1010" s="32"/>
      <c r="C1010" s="32"/>
      <c r="D1010" s="32"/>
      <c r="E1010" s="32"/>
      <c r="F1010" s="32"/>
      <c r="G1010" s="32"/>
      <c r="H1010" s="32"/>
      <c r="I1010" s="32"/>
      <c r="J1010" s="91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</row>
    <row r="1011">
      <c r="A1011" s="32"/>
      <c r="B1011" s="32"/>
      <c r="C1011" s="32"/>
      <c r="D1011" s="32"/>
      <c r="E1011" s="32"/>
      <c r="F1011" s="32"/>
      <c r="G1011" s="32"/>
      <c r="H1011" s="32"/>
      <c r="I1011" s="32"/>
      <c r="J1011" s="91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</row>
    <row r="1012">
      <c r="A1012" s="32"/>
      <c r="B1012" s="32"/>
      <c r="C1012" s="32"/>
      <c r="D1012" s="32"/>
      <c r="E1012" s="32"/>
      <c r="F1012" s="32"/>
      <c r="G1012" s="32"/>
      <c r="H1012" s="32"/>
      <c r="I1012" s="32"/>
      <c r="J1012" s="91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</row>
    <row r="1013">
      <c r="A1013" s="32"/>
      <c r="B1013" s="32"/>
      <c r="C1013" s="32"/>
      <c r="D1013" s="32"/>
      <c r="E1013" s="32"/>
      <c r="F1013" s="32"/>
      <c r="G1013" s="32"/>
      <c r="H1013" s="32"/>
      <c r="I1013" s="32"/>
      <c r="J1013" s="91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</row>
    <row r="1014">
      <c r="A1014" s="32"/>
      <c r="B1014" s="32"/>
      <c r="C1014" s="32"/>
      <c r="D1014" s="32"/>
      <c r="E1014" s="32"/>
      <c r="F1014" s="32"/>
      <c r="G1014" s="32"/>
      <c r="H1014" s="32"/>
      <c r="I1014" s="32"/>
      <c r="J1014" s="91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</row>
    <row r="1015">
      <c r="A1015" s="32"/>
      <c r="B1015" s="32"/>
      <c r="C1015" s="32"/>
      <c r="D1015" s="32"/>
      <c r="E1015" s="32"/>
      <c r="F1015" s="32"/>
      <c r="G1015" s="32"/>
      <c r="H1015" s="32"/>
      <c r="I1015" s="32"/>
      <c r="J1015" s="91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</row>
    <row r="1016">
      <c r="A1016" s="32"/>
      <c r="B1016" s="32"/>
      <c r="C1016" s="32"/>
      <c r="D1016" s="32"/>
      <c r="E1016" s="32"/>
      <c r="F1016" s="32"/>
      <c r="G1016" s="32"/>
      <c r="H1016" s="32"/>
      <c r="I1016" s="32"/>
      <c r="J1016" s="91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</row>
    <row r="1017">
      <c r="A1017" s="32"/>
      <c r="B1017" s="32"/>
      <c r="C1017" s="32"/>
      <c r="D1017" s="32"/>
      <c r="E1017" s="32"/>
      <c r="F1017" s="32"/>
      <c r="G1017" s="32"/>
      <c r="H1017" s="32"/>
      <c r="I1017" s="32"/>
      <c r="J1017" s="91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</row>
    <row r="1018">
      <c r="A1018" s="32"/>
      <c r="B1018" s="32"/>
      <c r="C1018" s="32"/>
      <c r="D1018" s="32"/>
      <c r="E1018" s="32"/>
      <c r="F1018" s="32"/>
      <c r="G1018" s="32"/>
      <c r="H1018" s="32"/>
      <c r="I1018" s="32"/>
      <c r="J1018" s="91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</row>
    <row r="1019">
      <c r="A1019" s="32"/>
      <c r="B1019" s="32"/>
      <c r="C1019" s="32"/>
      <c r="D1019" s="32"/>
      <c r="E1019" s="32"/>
      <c r="F1019" s="32"/>
      <c r="G1019" s="32"/>
      <c r="H1019" s="32"/>
      <c r="I1019" s="32"/>
      <c r="J1019" s="91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  <c r="X1019" s="32"/>
      <c r="Y1019" s="32"/>
      <c r="Z1019" s="32"/>
    </row>
    <row r="1020">
      <c r="A1020" s="32"/>
      <c r="B1020" s="32"/>
      <c r="C1020" s="32"/>
      <c r="D1020" s="32"/>
      <c r="E1020" s="32"/>
      <c r="F1020" s="32"/>
      <c r="G1020" s="32"/>
      <c r="H1020" s="32"/>
      <c r="I1020" s="32"/>
      <c r="J1020" s="91"/>
      <c r="K1020" s="32"/>
      <c r="L1020" s="32"/>
      <c r="M1020" s="32"/>
      <c r="N1020" s="32"/>
      <c r="O1020" s="32"/>
      <c r="P1020" s="32"/>
      <c r="Q1020" s="32"/>
      <c r="R1020" s="32"/>
      <c r="S1020" s="32"/>
      <c r="T1020" s="32"/>
      <c r="U1020" s="32"/>
      <c r="V1020" s="32"/>
      <c r="W1020" s="32"/>
      <c r="X1020" s="32"/>
      <c r="Y1020" s="32"/>
      <c r="Z1020" s="32"/>
    </row>
    <row r="1021">
      <c r="A1021" s="32"/>
      <c r="B1021" s="32"/>
      <c r="C1021" s="32"/>
      <c r="D1021" s="32"/>
      <c r="E1021" s="32"/>
      <c r="F1021" s="32"/>
      <c r="G1021" s="32"/>
      <c r="H1021" s="32"/>
      <c r="I1021" s="32"/>
      <c r="J1021" s="91"/>
      <c r="K1021" s="32"/>
      <c r="L1021" s="32"/>
      <c r="M1021" s="32"/>
      <c r="N1021" s="32"/>
      <c r="O1021" s="32"/>
      <c r="P1021" s="32"/>
      <c r="Q1021" s="32"/>
      <c r="R1021" s="32"/>
      <c r="S1021" s="32"/>
      <c r="T1021" s="32"/>
      <c r="U1021" s="32"/>
      <c r="V1021" s="32"/>
      <c r="W1021" s="32"/>
      <c r="X1021" s="32"/>
      <c r="Y1021" s="32"/>
      <c r="Z1021" s="32"/>
    </row>
    <row r="1022">
      <c r="A1022" s="32"/>
      <c r="B1022" s="32"/>
      <c r="C1022" s="32"/>
      <c r="D1022" s="32"/>
      <c r="E1022" s="32"/>
      <c r="F1022" s="32"/>
      <c r="G1022" s="32"/>
      <c r="H1022" s="32"/>
      <c r="I1022" s="32"/>
      <c r="J1022" s="91"/>
      <c r="K1022" s="32"/>
      <c r="L1022" s="32"/>
      <c r="M1022" s="32"/>
      <c r="N1022" s="32"/>
      <c r="O1022" s="32"/>
      <c r="P1022" s="32"/>
      <c r="Q1022" s="32"/>
      <c r="R1022" s="32"/>
      <c r="S1022" s="32"/>
      <c r="T1022" s="32"/>
      <c r="U1022" s="32"/>
      <c r="V1022" s="32"/>
      <c r="W1022" s="32"/>
      <c r="X1022" s="32"/>
      <c r="Y1022" s="32"/>
      <c r="Z1022" s="32"/>
    </row>
    <row r="1023">
      <c r="A1023" s="32"/>
      <c r="B1023" s="32"/>
      <c r="C1023" s="32"/>
      <c r="D1023" s="32"/>
      <c r="E1023" s="32"/>
      <c r="F1023" s="32"/>
      <c r="G1023" s="32"/>
      <c r="H1023" s="32"/>
      <c r="I1023" s="32"/>
      <c r="J1023" s="91"/>
      <c r="K1023" s="32"/>
      <c r="L1023" s="32"/>
      <c r="M1023" s="32"/>
      <c r="N1023" s="32"/>
      <c r="O1023" s="32"/>
      <c r="P1023" s="32"/>
      <c r="Q1023" s="32"/>
      <c r="R1023" s="32"/>
      <c r="S1023" s="32"/>
      <c r="T1023" s="32"/>
      <c r="U1023" s="32"/>
      <c r="V1023" s="32"/>
      <c r="W1023" s="32"/>
      <c r="X1023" s="32"/>
      <c r="Y1023" s="32"/>
      <c r="Z1023" s="32"/>
    </row>
    <row r="1024">
      <c r="A1024" s="32"/>
      <c r="B1024" s="32"/>
      <c r="C1024" s="32"/>
      <c r="D1024" s="32"/>
      <c r="E1024" s="32"/>
      <c r="F1024" s="32"/>
      <c r="G1024" s="32"/>
      <c r="H1024" s="32"/>
      <c r="I1024" s="32"/>
      <c r="J1024" s="91"/>
      <c r="K1024" s="32"/>
      <c r="L1024" s="32"/>
      <c r="M1024" s="32"/>
      <c r="N1024" s="32"/>
      <c r="O1024" s="32"/>
      <c r="P1024" s="32"/>
      <c r="Q1024" s="32"/>
      <c r="R1024" s="32"/>
      <c r="S1024" s="32"/>
      <c r="T1024" s="32"/>
      <c r="U1024" s="32"/>
      <c r="V1024" s="32"/>
      <c r="W1024" s="32"/>
      <c r="X1024" s="32"/>
      <c r="Y1024" s="32"/>
      <c r="Z1024" s="32"/>
    </row>
    <row r="1025">
      <c r="A1025" s="32"/>
      <c r="B1025" s="32"/>
      <c r="C1025" s="32"/>
      <c r="D1025" s="32"/>
      <c r="E1025" s="32"/>
      <c r="F1025" s="32"/>
      <c r="G1025" s="32"/>
      <c r="H1025" s="32"/>
      <c r="I1025" s="32"/>
      <c r="J1025" s="91"/>
      <c r="K1025" s="32"/>
      <c r="L1025" s="32"/>
      <c r="M1025" s="32"/>
      <c r="N1025" s="32"/>
      <c r="O1025" s="32"/>
      <c r="P1025" s="32"/>
      <c r="Q1025" s="32"/>
      <c r="R1025" s="32"/>
      <c r="S1025" s="32"/>
      <c r="T1025" s="32"/>
      <c r="U1025" s="32"/>
      <c r="V1025" s="32"/>
      <c r="W1025" s="32"/>
      <c r="X1025" s="32"/>
      <c r="Y1025" s="32"/>
      <c r="Z1025" s="32"/>
    </row>
    <row r="1026">
      <c r="A1026" s="32"/>
      <c r="B1026" s="32"/>
      <c r="C1026" s="32"/>
      <c r="D1026" s="32"/>
      <c r="E1026" s="32"/>
      <c r="F1026" s="32"/>
      <c r="G1026" s="32"/>
      <c r="H1026" s="32"/>
      <c r="I1026" s="32"/>
      <c r="J1026" s="91"/>
      <c r="K1026" s="32"/>
      <c r="L1026" s="32"/>
      <c r="M1026" s="32"/>
      <c r="N1026" s="32"/>
      <c r="O1026" s="32"/>
      <c r="P1026" s="32"/>
      <c r="Q1026" s="32"/>
      <c r="R1026" s="32"/>
      <c r="S1026" s="32"/>
      <c r="T1026" s="32"/>
      <c r="U1026" s="32"/>
      <c r="V1026" s="32"/>
      <c r="W1026" s="32"/>
      <c r="X1026" s="32"/>
      <c r="Y1026" s="32"/>
      <c r="Z1026" s="32"/>
    </row>
    <row r="1027">
      <c r="A1027" s="32"/>
      <c r="B1027" s="32"/>
      <c r="C1027" s="32"/>
      <c r="D1027" s="32"/>
      <c r="E1027" s="32"/>
      <c r="F1027" s="32"/>
      <c r="G1027" s="32"/>
      <c r="H1027" s="32"/>
      <c r="I1027" s="32"/>
      <c r="J1027" s="91"/>
      <c r="K1027" s="32"/>
      <c r="L1027" s="32"/>
      <c r="M1027" s="32"/>
      <c r="N1027" s="32"/>
      <c r="O1027" s="32"/>
      <c r="P1027" s="32"/>
      <c r="Q1027" s="32"/>
      <c r="R1027" s="32"/>
      <c r="S1027" s="32"/>
      <c r="T1027" s="32"/>
      <c r="U1027" s="32"/>
      <c r="V1027" s="32"/>
      <c r="W1027" s="32"/>
      <c r="X1027" s="32"/>
      <c r="Y1027" s="32"/>
      <c r="Z1027" s="32"/>
    </row>
    <row r="1028">
      <c r="A1028" s="32"/>
      <c r="B1028" s="32"/>
      <c r="C1028" s="32"/>
      <c r="D1028" s="32"/>
      <c r="E1028" s="32"/>
      <c r="F1028" s="32"/>
      <c r="G1028" s="32"/>
      <c r="H1028" s="32"/>
      <c r="I1028" s="32"/>
      <c r="J1028" s="91"/>
      <c r="K1028" s="32"/>
      <c r="L1028" s="32"/>
      <c r="M1028" s="32"/>
      <c r="N1028" s="32"/>
      <c r="O1028" s="32"/>
      <c r="P1028" s="32"/>
      <c r="Q1028" s="32"/>
      <c r="R1028" s="32"/>
      <c r="S1028" s="32"/>
      <c r="T1028" s="32"/>
      <c r="U1028" s="32"/>
      <c r="V1028" s="32"/>
      <c r="W1028" s="32"/>
      <c r="X1028" s="32"/>
      <c r="Y1028" s="32"/>
      <c r="Z1028" s="32"/>
    </row>
    <row r="1029">
      <c r="A1029" s="32"/>
      <c r="B1029" s="32"/>
      <c r="C1029" s="32"/>
      <c r="D1029" s="32"/>
      <c r="E1029" s="32"/>
      <c r="F1029" s="32"/>
      <c r="G1029" s="32"/>
      <c r="H1029" s="32"/>
      <c r="I1029" s="32"/>
      <c r="J1029" s="91"/>
      <c r="K1029" s="32"/>
      <c r="L1029" s="32"/>
      <c r="M1029" s="32"/>
      <c r="N1029" s="32"/>
      <c r="O1029" s="32"/>
      <c r="P1029" s="32"/>
      <c r="Q1029" s="32"/>
      <c r="R1029" s="32"/>
      <c r="S1029" s="32"/>
      <c r="T1029" s="32"/>
      <c r="U1029" s="32"/>
      <c r="V1029" s="32"/>
      <c r="W1029" s="32"/>
      <c r="X1029" s="32"/>
      <c r="Y1029" s="32"/>
      <c r="Z1029" s="32"/>
    </row>
    <row r="1030">
      <c r="A1030" s="32"/>
      <c r="B1030" s="32"/>
      <c r="C1030" s="32"/>
      <c r="D1030" s="32"/>
      <c r="E1030" s="32"/>
      <c r="F1030" s="32"/>
      <c r="G1030" s="32"/>
      <c r="H1030" s="32"/>
      <c r="I1030" s="32"/>
      <c r="J1030" s="91"/>
      <c r="K1030" s="32"/>
      <c r="L1030" s="32"/>
      <c r="M1030" s="32"/>
      <c r="N1030" s="32"/>
      <c r="O1030" s="32"/>
      <c r="P1030" s="32"/>
      <c r="Q1030" s="32"/>
      <c r="R1030" s="32"/>
      <c r="S1030" s="32"/>
      <c r="T1030" s="32"/>
      <c r="U1030" s="32"/>
      <c r="V1030" s="32"/>
      <c r="W1030" s="32"/>
      <c r="X1030" s="32"/>
      <c r="Y1030" s="32"/>
      <c r="Z1030" s="32"/>
    </row>
    <row r="1031">
      <c r="A1031" s="32"/>
      <c r="B1031" s="32"/>
      <c r="C1031" s="32"/>
      <c r="D1031" s="32"/>
      <c r="E1031" s="32"/>
      <c r="F1031" s="32"/>
      <c r="G1031" s="32"/>
      <c r="H1031" s="32"/>
      <c r="I1031" s="32"/>
      <c r="J1031" s="91"/>
      <c r="K1031" s="32"/>
      <c r="L1031" s="32"/>
      <c r="M1031" s="32"/>
      <c r="N1031" s="32"/>
      <c r="O1031" s="32"/>
      <c r="P1031" s="32"/>
      <c r="Q1031" s="32"/>
      <c r="R1031" s="32"/>
      <c r="S1031" s="32"/>
      <c r="T1031" s="32"/>
      <c r="U1031" s="32"/>
      <c r="V1031" s="32"/>
      <c r="W1031" s="32"/>
      <c r="X1031" s="32"/>
      <c r="Y1031" s="32"/>
      <c r="Z1031" s="32"/>
    </row>
    <row r="1032">
      <c r="A1032" s="32"/>
      <c r="B1032" s="32"/>
      <c r="C1032" s="32"/>
      <c r="D1032" s="32"/>
      <c r="E1032" s="32"/>
      <c r="F1032" s="32"/>
      <c r="G1032" s="32"/>
      <c r="H1032" s="32"/>
      <c r="I1032" s="32"/>
      <c r="J1032" s="91"/>
      <c r="K1032" s="32"/>
      <c r="L1032" s="32"/>
      <c r="M1032" s="32"/>
      <c r="N1032" s="32"/>
      <c r="O1032" s="32"/>
      <c r="P1032" s="32"/>
      <c r="Q1032" s="32"/>
      <c r="R1032" s="32"/>
      <c r="S1032" s="32"/>
      <c r="T1032" s="32"/>
      <c r="U1032" s="32"/>
      <c r="V1032" s="32"/>
      <c r="W1032" s="32"/>
      <c r="X1032" s="32"/>
      <c r="Y1032" s="32"/>
      <c r="Z1032" s="32"/>
    </row>
    <row r="1033">
      <c r="A1033" s="32"/>
      <c r="B1033" s="32"/>
      <c r="C1033" s="32"/>
      <c r="D1033" s="32"/>
      <c r="E1033" s="32"/>
      <c r="F1033" s="32"/>
      <c r="G1033" s="32"/>
      <c r="H1033" s="32"/>
      <c r="I1033" s="32"/>
      <c r="J1033" s="91"/>
      <c r="K1033" s="32"/>
      <c r="L1033" s="32"/>
      <c r="M1033" s="32"/>
      <c r="N1033" s="32"/>
      <c r="O1033" s="32"/>
      <c r="P1033" s="32"/>
      <c r="Q1033" s="32"/>
      <c r="R1033" s="32"/>
      <c r="S1033" s="32"/>
      <c r="T1033" s="32"/>
      <c r="U1033" s="32"/>
      <c r="V1033" s="32"/>
      <c r="W1033" s="32"/>
      <c r="X1033" s="32"/>
      <c r="Y1033" s="32"/>
      <c r="Z1033" s="32"/>
    </row>
    <row r="1034">
      <c r="A1034" s="32"/>
      <c r="B1034" s="32"/>
      <c r="C1034" s="32"/>
      <c r="D1034" s="32"/>
      <c r="E1034" s="32"/>
      <c r="F1034" s="32"/>
      <c r="G1034" s="32"/>
      <c r="H1034" s="32"/>
      <c r="I1034" s="32"/>
      <c r="J1034" s="91"/>
      <c r="K1034" s="32"/>
      <c r="L1034" s="32"/>
      <c r="M1034" s="32"/>
      <c r="N1034" s="32"/>
      <c r="O1034" s="32"/>
      <c r="P1034" s="32"/>
      <c r="Q1034" s="32"/>
      <c r="R1034" s="32"/>
      <c r="S1034" s="32"/>
      <c r="T1034" s="32"/>
      <c r="U1034" s="32"/>
      <c r="V1034" s="32"/>
      <c r="W1034" s="32"/>
      <c r="X1034" s="32"/>
      <c r="Y1034" s="32"/>
      <c r="Z1034" s="32"/>
    </row>
    <row r="1035">
      <c r="A1035" s="32"/>
      <c r="B1035" s="32"/>
      <c r="C1035" s="32"/>
      <c r="D1035" s="32"/>
      <c r="E1035" s="32"/>
      <c r="F1035" s="32"/>
      <c r="G1035" s="32"/>
      <c r="H1035" s="32"/>
      <c r="I1035" s="32"/>
      <c r="J1035" s="91"/>
      <c r="K1035" s="32"/>
      <c r="L1035" s="32"/>
      <c r="M1035" s="32"/>
      <c r="N1035" s="32"/>
      <c r="O1035" s="32"/>
      <c r="P1035" s="32"/>
      <c r="Q1035" s="32"/>
      <c r="R1035" s="32"/>
      <c r="S1035" s="32"/>
      <c r="T1035" s="32"/>
      <c r="U1035" s="32"/>
      <c r="V1035" s="32"/>
      <c r="W1035" s="32"/>
      <c r="X1035" s="32"/>
      <c r="Y1035" s="32"/>
      <c r="Z1035" s="32"/>
    </row>
    <row r="1036">
      <c r="A1036" s="32"/>
      <c r="B1036" s="32"/>
      <c r="C1036" s="32"/>
      <c r="D1036" s="32"/>
      <c r="E1036" s="32"/>
      <c r="F1036" s="32"/>
      <c r="G1036" s="32"/>
      <c r="H1036" s="32"/>
      <c r="I1036" s="32"/>
      <c r="J1036" s="91"/>
      <c r="K1036" s="32"/>
      <c r="L1036" s="32"/>
      <c r="M1036" s="32"/>
      <c r="N1036" s="32"/>
      <c r="O1036" s="32"/>
      <c r="P1036" s="32"/>
      <c r="Q1036" s="32"/>
      <c r="R1036" s="32"/>
      <c r="S1036" s="32"/>
      <c r="T1036" s="32"/>
      <c r="U1036" s="32"/>
      <c r="V1036" s="32"/>
      <c r="W1036" s="32"/>
      <c r="X1036" s="32"/>
      <c r="Y1036" s="32"/>
      <c r="Z1036" s="32"/>
    </row>
    <row r="1037">
      <c r="A1037" s="32"/>
      <c r="B1037" s="32"/>
      <c r="C1037" s="32"/>
      <c r="D1037" s="32"/>
      <c r="E1037" s="32"/>
      <c r="F1037" s="32"/>
      <c r="G1037" s="32"/>
      <c r="H1037" s="32"/>
      <c r="I1037" s="32"/>
      <c r="J1037" s="91"/>
      <c r="K1037" s="32"/>
      <c r="L1037" s="32"/>
      <c r="M1037" s="32"/>
      <c r="N1037" s="32"/>
      <c r="O1037" s="32"/>
      <c r="P1037" s="32"/>
      <c r="Q1037" s="32"/>
      <c r="R1037" s="32"/>
      <c r="S1037" s="32"/>
      <c r="T1037" s="32"/>
      <c r="U1037" s="32"/>
      <c r="V1037" s="32"/>
      <c r="W1037" s="32"/>
      <c r="X1037" s="32"/>
      <c r="Y1037" s="32"/>
      <c r="Z1037" s="32"/>
    </row>
    <row r="1038">
      <c r="A1038" s="32"/>
      <c r="B1038" s="32"/>
      <c r="C1038" s="32"/>
      <c r="D1038" s="32"/>
      <c r="E1038" s="32"/>
      <c r="F1038" s="32"/>
      <c r="G1038" s="32"/>
      <c r="H1038" s="32"/>
      <c r="I1038" s="32"/>
      <c r="J1038" s="91"/>
      <c r="K1038" s="32"/>
      <c r="L1038" s="32"/>
      <c r="M1038" s="32"/>
      <c r="N1038" s="32"/>
      <c r="O1038" s="32"/>
      <c r="P1038" s="32"/>
      <c r="Q1038" s="32"/>
      <c r="R1038" s="32"/>
      <c r="S1038" s="32"/>
      <c r="T1038" s="32"/>
      <c r="U1038" s="32"/>
      <c r="V1038" s="32"/>
      <c r="W1038" s="32"/>
      <c r="X1038" s="32"/>
      <c r="Y1038" s="32"/>
      <c r="Z1038" s="32"/>
    </row>
    <row r="1039">
      <c r="A1039" s="32"/>
      <c r="B1039" s="32"/>
      <c r="C1039" s="32"/>
      <c r="D1039" s="32"/>
      <c r="E1039" s="32"/>
      <c r="F1039" s="32"/>
      <c r="G1039" s="32"/>
      <c r="H1039" s="32"/>
      <c r="I1039" s="32"/>
      <c r="J1039" s="91"/>
      <c r="K1039" s="32"/>
      <c r="L1039" s="32"/>
      <c r="M1039" s="32"/>
      <c r="N1039" s="32"/>
      <c r="O1039" s="32"/>
      <c r="P1039" s="32"/>
      <c r="Q1039" s="32"/>
      <c r="R1039" s="32"/>
      <c r="S1039" s="32"/>
      <c r="T1039" s="32"/>
      <c r="U1039" s="32"/>
      <c r="V1039" s="32"/>
      <c r="W1039" s="32"/>
      <c r="X1039" s="32"/>
      <c r="Y1039" s="32"/>
      <c r="Z1039" s="32"/>
    </row>
    <row r="1040">
      <c r="A1040" s="32"/>
      <c r="B1040" s="32"/>
      <c r="C1040" s="32"/>
      <c r="D1040" s="32"/>
      <c r="E1040" s="32"/>
      <c r="F1040" s="32"/>
      <c r="G1040" s="32"/>
      <c r="H1040" s="32"/>
      <c r="I1040" s="32"/>
      <c r="J1040" s="91"/>
      <c r="K1040" s="32"/>
      <c r="L1040" s="32"/>
      <c r="M1040" s="32"/>
      <c r="N1040" s="32"/>
      <c r="O1040" s="32"/>
      <c r="P1040" s="32"/>
      <c r="Q1040" s="32"/>
      <c r="R1040" s="32"/>
      <c r="S1040" s="32"/>
      <c r="T1040" s="32"/>
      <c r="U1040" s="32"/>
      <c r="V1040" s="32"/>
      <c r="W1040" s="32"/>
      <c r="X1040" s="32"/>
      <c r="Y1040" s="32"/>
      <c r="Z1040" s="32"/>
    </row>
    <row r="1041">
      <c r="A1041" s="32"/>
      <c r="B1041" s="32"/>
      <c r="C1041" s="32"/>
      <c r="D1041" s="32"/>
      <c r="E1041" s="32"/>
      <c r="F1041" s="32"/>
      <c r="G1041" s="32"/>
      <c r="H1041" s="32"/>
      <c r="I1041" s="32"/>
      <c r="J1041" s="91"/>
      <c r="K1041" s="32"/>
      <c r="L1041" s="32"/>
      <c r="M1041" s="32"/>
      <c r="N1041" s="32"/>
      <c r="O1041" s="32"/>
      <c r="P1041" s="32"/>
      <c r="Q1041" s="32"/>
      <c r="R1041" s="32"/>
      <c r="S1041" s="32"/>
      <c r="T1041" s="32"/>
      <c r="U1041" s="32"/>
      <c r="V1041" s="32"/>
      <c r="W1041" s="32"/>
      <c r="X1041" s="32"/>
      <c r="Y1041" s="32"/>
      <c r="Z1041" s="32"/>
    </row>
    <row r="1042">
      <c r="A1042" s="32"/>
      <c r="B1042" s="32"/>
      <c r="C1042" s="32"/>
      <c r="D1042" s="32"/>
      <c r="E1042" s="32"/>
      <c r="F1042" s="32"/>
      <c r="G1042" s="32"/>
      <c r="H1042" s="32"/>
      <c r="I1042" s="32"/>
      <c r="J1042" s="91"/>
      <c r="K1042" s="32"/>
      <c r="L1042" s="32"/>
      <c r="M1042" s="32"/>
      <c r="N1042" s="32"/>
      <c r="O1042" s="32"/>
      <c r="P1042" s="32"/>
      <c r="Q1042" s="32"/>
      <c r="R1042" s="32"/>
      <c r="S1042" s="32"/>
      <c r="T1042" s="32"/>
      <c r="U1042" s="32"/>
      <c r="V1042" s="32"/>
      <c r="W1042" s="32"/>
      <c r="X1042" s="32"/>
      <c r="Y1042" s="32"/>
      <c r="Z1042" s="32"/>
    </row>
    <row r="1043">
      <c r="A1043" s="32"/>
      <c r="B1043" s="32"/>
      <c r="C1043" s="32"/>
      <c r="D1043" s="32"/>
      <c r="E1043" s="32"/>
      <c r="F1043" s="32"/>
      <c r="G1043" s="32"/>
      <c r="H1043" s="32"/>
      <c r="I1043" s="32"/>
      <c r="J1043" s="91"/>
      <c r="K1043" s="32"/>
      <c r="L1043" s="32"/>
      <c r="M1043" s="32"/>
      <c r="N1043" s="32"/>
      <c r="O1043" s="32"/>
      <c r="P1043" s="32"/>
      <c r="Q1043" s="32"/>
      <c r="R1043" s="32"/>
      <c r="S1043" s="32"/>
      <c r="T1043" s="32"/>
      <c r="U1043" s="32"/>
      <c r="V1043" s="32"/>
      <c r="W1043" s="32"/>
      <c r="X1043" s="32"/>
      <c r="Y1043" s="32"/>
      <c r="Z1043" s="32"/>
    </row>
    <row r="1044">
      <c r="A1044" s="32"/>
      <c r="B1044" s="32"/>
      <c r="C1044" s="32"/>
      <c r="D1044" s="32"/>
      <c r="E1044" s="32"/>
      <c r="F1044" s="32"/>
      <c r="G1044" s="32"/>
      <c r="H1044" s="32"/>
      <c r="I1044" s="32"/>
      <c r="J1044" s="91"/>
      <c r="K1044" s="32"/>
      <c r="L1044" s="32"/>
      <c r="M1044" s="32"/>
      <c r="N1044" s="32"/>
      <c r="O1044" s="32"/>
      <c r="P1044" s="32"/>
      <c r="Q1044" s="32"/>
      <c r="R1044" s="32"/>
      <c r="S1044" s="32"/>
      <c r="T1044" s="32"/>
      <c r="U1044" s="32"/>
      <c r="V1044" s="32"/>
      <c r="W1044" s="32"/>
      <c r="X1044" s="32"/>
      <c r="Y1044" s="32"/>
      <c r="Z1044" s="32"/>
    </row>
    <row r="1045">
      <c r="A1045" s="32"/>
      <c r="B1045" s="32"/>
      <c r="C1045" s="32"/>
      <c r="D1045" s="32"/>
      <c r="E1045" s="32"/>
      <c r="F1045" s="32"/>
      <c r="G1045" s="32"/>
      <c r="H1045" s="32"/>
      <c r="I1045" s="32"/>
      <c r="J1045" s="91"/>
      <c r="K1045" s="32"/>
      <c r="L1045" s="32"/>
      <c r="M1045" s="32"/>
      <c r="N1045" s="32"/>
      <c r="O1045" s="32"/>
      <c r="P1045" s="32"/>
      <c r="Q1045" s="32"/>
      <c r="R1045" s="32"/>
      <c r="S1045" s="32"/>
      <c r="T1045" s="32"/>
      <c r="U1045" s="32"/>
      <c r="V1045" s="32"/>
      <c r="W1045" s="32"/>
      <c r="X1045" s="32"/>
      <c r="Y1045" s="32"/>
      <c r="Z1045" s="32"/>
    </row>
    <row r="1046">
      <c r="A1046" s="32"/>
      <c r="B1046" s="32"/>
      <c r="C1046" s="32"/>
      <c r="D1046" s="32"/>
      <c r="E1046" s="32"/>
      <c r="F1046" s="32"/>
      <c r="G1046" s="32"/>
      <c r="H1046" s="32"/>
      <c r="I1046" s="32"/>
      <c r="J1046" s="91"/>
      <c r="K1046" s="32"/>
      <c r="L1046" s="32"/>
      <c r="M1046" s="32"/>
      <c r="N1046" s="32"/>
      <c r="O1046" s="32"/>
      <c r="P1046" s="32"/>
      <c r="Q1046" s="32"/>
      <c r="R1046" s="32"/>
      <c r="S1046" s="32"/>
      <c r="T1046" s="32"/>
      <c r="U1046" s="32"/>
      <c r="V1046" s="32"/>
      <c r="W1046" s="32"/>
      <c r="X1046" s="32"/>
      <c r="Y1046" s="32"/>
      <c r="Z1046" s="32"/>
    </row>
    <row r="1047">
      <c r="A1047" s="32"/>
      <c r="B1047" s="32"/>
      <c r="C1047" s="32"/>
      <c r="D1047" s="32"/>
      <c r="E1047" s="32"/>
      <c r="F1047" s="32"/>
      <c r="G1047" s="32"/>
      <c r="H1047" s="32"/>
      <c r="I1047" s="32"/>
      <c r="J1047" s="91"/>
      <c r="K1047" s="32"/>
      <c r="L1047" s="32"/>
      <c r="M1047" s="32"/>
      <c r="N1047" s="32"/>
      <c r="O1047" s="32"/>
      <c r="P1047" s="32"/>
      <c r="Q1047" s="32"/>
      <c r="R1047" s="32"/>
      <c r="S1047" s="32"/>
      <c r="T1047" s="32"/>
      <c r="U1047" s="32"/>
      <c r="V1047" s="32"/>
      <c r="W1047" s="32"/>
      <c r="X1047" s="32"/>
      <c r="Y1047" s="32"/>
      <c r="Z1047" s="32"/>
    </row>
    <row r="1048">
      <c r="A1048" s="32"/>
      <c r="B1048" s="32"/>
      <c r="C1048" s="32"/>
      <c r="D1048" s="32"/>
      <c r="E1048" s="32"/>
      <c r="F1048" s="32"/>
      <c r="G1048" s="32"/>
      <c r="H1048" s="32"/>
      <c r="I1048" s="32"/>
      <c r="J1048" s="91"/>
      <c r="K1048" s="32"/>
      <c r="L1048" s="32"/>
      <c r="M1048" s="32"/>
      <c r="N1048" s="32"/>
      <c r="O1048" s="32"/>
      <c r="P1048" s="32"/>
      <c r="Q1048" s="32"/>
      <c r="R1048" s="32"/>
      <c r="S1048" s="32"/>
      <c r="T1048" s="32"/>
      <c r="U1048" s="32"/>
      <c r="V1048" s="32"/>
      <c r="W1048" s="32"/>
      <c r="X1048" s="32"/>
      <c r="Y1048" s="32"/>
      <c r="Z1048" s="32"/>
    </row>
    <row r="1049">
      <c r="A1049" s="32"/>
      <c r="B1049" s="32"/>
      <c r="C1049" s="32"/>
      <c r="D1049" s="32"/>
      <c r="E1049" s="32"/>
      <c r="F1049" s="32"/>
      <c r="G1049" s="32"/>
      <c r="H1049" s="32"/>
      <c r="I1049" s="32"/>
      <c r="J1049" s="91"/>
      <c r="K1049" s="32"/>
      <c r="L1049" s="32"/>
      <c r="M1049" s="32"/>
      <c r="N1049" s="32"/>
      <c r="O1049" s="32"/>
      <c r="P1049" s="32"/>
      <c r="Q1049" s="32"/>
      <c r="R1049" s="32"/>
      <c r="S1049" s="32"/>
      <c r="T1049" s="32"/>
      <c r="U1049" s="32"/>
      <c r="V1049" s="32"/>
      <c r="W1049" s="32"/>
      <c r="X1049" s="32"/>
      <c r="Y1049" s="32"/>
      <c r="Z1049" s="32"/>
    </row>
    <row r="1050">
      <c r="A1050" s="32"/>
      <c r="B1050" s="32"/>
      <c r="C1050" s="32"/>
      <c r="D1050" s="32"/>
      <c r="E1050" s="32"/>
      <c r="F1050" s="32"/>
      <c r="G1050" s="32"/>
      <c r="H1050" s="32"/>
      <c r="I1050" s="32"/>
      <c r="J1050" s="91"/>
      <c r="K1050" s="32"/>
      <c r="L1050" s="32"/>
      <c r="M1050" s="32"/>
      <c r="N1050" s="32"/>
      <c r="O1050" s="32"/>
      <c r="P1050" s="32"/>
      <c r="Q1050" s="32"/>
      <c r="R1050" s="32"/>
      <c r="S1050" s="32"/>
      <c r="T1050" s="32"/>
      <c r="U1050" s="32"/>
      <c r="V1050" s="32"/>
      <c r="W1050" s="32"/>
      <c r="X1050" s="32"/>
      <c r="Y1050" s="32"/>
      <c r="Z1050" s="32"/>
    </row>
    <row r="1051">
      <c r="A1051" s="32"/>
      <c r="B1051" s="32"/>
      <c r="C1051" s="32"/>
      <c r="D1051" s="32"/>
      <c r="E1051" s="32"/>
      <c r="F1051" s="32"/>
      <c r="G1051" s="32"/>
      <c r="H1051" s="32"/>
      <c r="I1051" s="32"/>
      <c r="J1051" s="91"/>
      <c r="K1051" s="32"/>
      <c r="L1051" s="32"/>
      <c r="M1051" s="32"/>
      <c r="N1051" s="32"/>
      <c r="O1051" s="32"/>
      <c r="P1051" s="32"/>
      <c r="Q1051" s="32"/>
      <c r="R1051" s="32"/>
      <c r="S1051" s="32"/>
      <c r="T1051" s="32"/>
      <c r="U1051" s="32"/>
      <c r="V1051" s="32"/>
      <c r="W1051" s="32"/>
      <c r="X1051" s="32"/>
      <c r="Y1051" s="32"/>
      <c r="Z1051" s="32"/>
    </row>
    <row r="1052">
      <c r="A1052" s="32"/>
      <c r="B1052" s="32"/>
      <c r="C1052" s="32"/>
      <c r="D1052" s="32"/>
      <c r="E1052" s="32"/>
      <c r="F1052" s="32"/>
      <c r="G1052" s="32"/>
      <c r="H1052" s="32"/>
      <c r="I1052" s="32"/>
      <c r="J1052" s="91"/>
      <c r="K1052" s="32"/>
      <c r="L1052" s="32"/>
      <c r="M1052" s="32"/>
      <c r="N1052" s="32"/>
      <c r="O1052" s="32"/>
      <c r="P1052" s="32"/>
      <c r="Q1052" s="32"/>
      <c r="R1052" s="32"/>
      <c r="S1052" s="32"/>
      <c r="T1052" s="32"/>
      <c r="U1052" s="32"/>
      <c r="V1052" s="32"/>
      <c r="W1052" s="32"/>
      <c r="X1052" s="32"/>
      <c r="Y1052" s="32"/>
      <c r="Z1052" s="32"/>
    </row>
    <row r="1053">
      <c r="A1053" s="32"/>
      <c r="B1053" s="32"/>
      <c r="C1053" s="32"/>
      <c r="D1053" s="32"/>
      <c r="E1053" s="32"/>
      <c r="F1053" s="32"/>
      <c r="G1053" s="32"/>
      <c r="H1053" s="32"/>
      <c r="I1053" s="32"/>
      <c r="J1053" s="91"/>
      <c r="K1053" s="32"/>
      <c r="L1053" s="32"/>
      <c r="M1053" s="32"/>
      <c r="N1053" s="32"/>
      <c r="O1053" s="32"/>
      <c r="P1053" s="32"/>
      <c r="Q1053" s="32"/>
      <c r="R1053" s="32"/>
      <c r="S1053" s="32"/>
      <c r="T1053" s="32"/>
      <c r="U1053" s="32"/>
      <c r="V1053" s="32"/>
      <c r="W1053" s="32"/>
      <c r="X1053" s="32"/>
      <c r="Y1053" s="32"/>
      <c r="Z1053" s="32"/>
    </row>
    <row r="1054">
      <c r="A1054" s="32"/>
      <c r="B1054" s="32"/>
      <c r="C1054" s="32"/>
      <c r="D1054" s="32"/>
      <c r="E1054" s="32"/>
      <c r="F1054" s="32"/>
      <c r="G1054" s="32"/>
      <c r="H1054" s="32"/>
      <c r="I1054" s="32"/>
      <c r="J1054" s="91"/>
      <c r="K1054" s="32"/>
      <c r="L1054" s="32"/>
      <c r="M1054" s="32"/>
      <c r="N1054" s="32"/>
      <c r="O1054" s="32"/>
      <c r="P1054" s="32"/>
      <c r="Q1054" s="32"/>
      <c r="R1054" s="32"/>
      <c r="S1054" s="32"/>
      <c r="T1054" s="32"/>
      <c r="U1054" s="32"/>
      <c r="V1054" s="32"/>
      <c r="W1054" s="32"/>
      <c r="X1054" s="32"/>
      <c r="Y1054" s="32"/>
      <c r="Z1054" s="32"/>
    </row>
    <row r="1055">
      <c r="A1055" s="32"/>
      <c r="B1055" s="32"/>
      <c r="C1055" s="32"/>
      <c r="D1055" s="32"/>
      <c r="E1055" s="32"/>
      <c r="F1055" s="32"/>
      <c r="G1055" s="32"/>
      <c r="H1055" s="32"/>
      <c r="I1055" s="32"/>
      <c r="J1055" s="91"/>
      <c r="K1055" s="32"/>
      <c r="L1055" s="32"/>
      <c r="M1055" s="32"/>
      <c r="N1055" s="32"/>
      <c r="O1055" s="32"/>
      <c r="P1055" s="32"/>
      <c r="Q1055" s="32"/>
      <c r="R1055" s="32"/>
      <c r="S1055" s="32"/>
      <c r="T1055" s="32"/>
      <c r="U1055" s="32"/>
      <c r="V1055" s="32"/>
      <c r="W1055" s="32"/>
      <c r="X1055" s="32"/>
      <c r="Y1055" s="32"/>
      <c r="Z1055" s="32"/>
    </row>
    <row r="1056">
      <c r="A1056" s="32"/>
      <c r="B1056" s="32"/>
      <c r="C1056" s="32"/>
      <c r="D1056" s="32"/>
      <c r="E1056" s="32"/>
      <c r="F1056" s="32"/>
      <c r="G1056" s="32"/>
      <c r="H1056" s="32"/>
      <c r="I1056" s="32"/>
      <c r="J1056" s="91"/>
      <c r="K1056" s="32"/>
      <c r="L1056" s="32"/>
      <c r="M1056" s="32"/>
      <c r="N1056" s="32"/>
      <c r="O1056" s="32"/>
      <c r="P1056" s="32"/>
      <c r="Q1056" s="32"/>
      <c r="R1056" s="32"/>
      <c r="S1056" s="32"/>
      <c r="T1056" s="32"/>
      <c r="U1056" s="32"/>
      <c r="V1056" s="32"/>
      <c r="W1056" s="32"/>
      <c r="X1056" s="32"/>
      <c r="Y1056" s="32"/>
      <c r="Z1056" s="32"/>
    </row>
    <row r="1057">
      <c r="A1057" s="32"/>
      <c r="B1057" s="32"/>
      <c r="C1057" s="32"/>
      <c r="D1057" s="32"/>
      <c r="E1057" s="32"/>
      <c r="F1057" s="32"/>
      <c r="G1057" s="32"/>
      <c r="H1057" s="32"/>
      <c r="I1057" s="32"/>
      <c r="J1057" s="91"/>
      <c r="K1057" s="32"/>
      <c r="L1057" s="32"/>
      <c r="M1057" s="32"/>
      <c r="N1057" s="32"/>
      <c r="O1057" s="32"/>
      <c r="P1057" s="32"/>
      <c r="Q1057" s="32"/>
      <c r="R1057" s="32"/>
      <c r="S1057" s="32"/>
      <c r="T1057" s="32"/>
      <c r="U1057" s="32"/>
      <c r="V1057" s="32"/>
      <c r="W1057" s="32"/>
      <c r="X1057" s="32"/>
      <c r="Y1057" s="32"/>
      <c r="Z1057" s="32"/>
    </row>
    <row r="1058">
      <c r="A1058" s="32"/>
      <c r="B1058" s="32"/>
      <c r="C1058" s="32"/>
      <c r="D1058" s="32"/>
      <c r="E1058" s="32"/>
      <c r="F1058" s="32"/>
      <c r="G1058" s="32"/>
      <c r="H1058" s="32"/>
      <c r="I1058" s="32"/>
      <c r="J1058" s="91"/>
      <c r="K1058" s="32"/>
      <c r="L1058" s="32"/>
      <c r="M1058" s="32"/>
      <c r="N1058" s="32"/>
      <c r="O1058" s="32"/>
      <c r="P1058" s="32"/>
      <c r="Q1058" s="32"/>
      <c r="R1058" s="32"/>
      <c r="S1058" s="32"/>
      <c r="T1058" s="32"/>
      <c r="U1058" s="32"/>
      <c r="V1058" s="32"/>
      <c r="W1058" s="32"/>
      <c r="X1058" s="32"/>
      <c r="Y1058" s="32"/>
      <c r="Z1058" s="32"/>
    </row>
    <row r="1059">
      <c r="A1059" s="32"/>
      <c r="B1059" s="32"/>
      <c r="C1059" s="32"/>
      <c r="D1059" s="32"/>
      <c r="E1059" s="32"/>
      <c r="F1059" s="32"/>
      <c r="G1059" s="32"/>
      <c r="H1059" s="32"/>
      <c r="I1059" s="32"/>
      <c r="J1059" s="91"/>
      <c r="K1059" s="32"/>
      <c r="L1059" s="32"/>
      <c r="M1059" s="32"/>
      <c r="N1059" s="32"/>
      <c r="O1059" s="32"/>
      <c r="P1059" s="32"/>
      <c r="Q1059" s="32"/>
      <c r="R1059" s="32"/>
      <c r="S1059" s="32"/>
      <c r="T1059" s="32"/>
      <c r="U1059" s="32"/>
      <c r="V1059" s="32"/>
      <c r="W1059" s="32"/>
      <c r="X1059" s="32"/>
      <c r="Y1059" s="32"/>
      <c r="Z1059" s="32"/>
    </row>
    <row r="1060">
      <c r="A1060" s="32"/>
      <c r="B1060" s="32"/>
      <c r="C1060" s="32"/>
      <c r="D1060" s="32"/>
      <c r="E1060" s="32"/>
      <c r="F1060" s="32"/>
      <c r="G1060" s="32"/>
      <c r="H1060" s="32"/>
      <c r="I1060" s="32"/>
      <c r="J1060" s="91"/>
      <c r="K1060" s="32"/>
      <c r="L1060" s="32"/>
      <c r="M1060" s="32"/>
      <c r="N1060" s="32"/>
      <c r="O1060" s="32"/>
      <c r="P1060" s="32"/>
      <c r="Q1060" s="32"/>
      <c r="R1060" s="32"/>
      <c r="S1060" s="32"/>
      <c r="T1060" s="32"/>
      <c r="U1060" s="32"/>
      <c r="V1060" s="32"/>
      <c r="W1060" s="32"/>
      <c r="X1060" s="32"/>
      <c r="Y1060" s="32"/>
      <c r="Z1060" s="32"/>
    </row>
    <row r="1061">
      <c r="A1061" s="32"/>
      <c r="B1061" s="32"/>
      <c r="C1061" s="32"/>
      <c r="D1061" s="32"/>
      <c r="E1061" s="32"/>
      <c r="F1061" s="32"/>
      <c r="G1061" s="32"/>
      <c r="H1061" s="32"/>
      <c r="I1061" s="32"/>
      <c r="J1061" s="91"/>
      <c r="K1061" s="32"/>
      <c r="L1061" s="32"/>
      <c r="M1061" s="32"/>
      <c r="N1061" s="32"/>
      <c r="O1061" s="32"/>
      <c r="P1061" s="32"/>
      <c r="Q1061" s="32"/>
      <c r="R1061" s="32"/>
      <c r="S1061" s="32"/>
      <c r="T1061" s="32"/>
      <c r="U1061" s="32"/>
      <c r="V1061" s="32"/>
      <c r="W1061" s="32"/>
      <c r="X1061" s="32"/>
      <c r="Y1061" s="32"/>
      <c r="Z1061" s="32"/>
    </row>
    <row r="1062">
      <c r="A1062" s="32"/>
      <c r="B1062" s="32"/>
      <c r="C1062" s="32"/>
      <c r="D1062" s="32"/>
      <c r="E1062" s="32"/>
      <c r="F1062" s="32"/>
      <c r="G1062" s="32"/>
      <c r="H1062" s="32"/>
      <c r="I1062" s="32"/>
      <c r="J1062" s="91"/>
      <c r="K1062" s="32"/>
      <c r="L1062" s="32"/>
      <c r="M1062" s="32"/>
      <c r="N1062" s="32"/>
      <c r="O1062" s="32"/>
      <c r="P1062" s="32"/>
      <c r="Q1062" s="32"/>
      <c r="R1062" s="32"/>
      <c r="S1062" s="32"/>
      <c r="T1062" s="32"/>
      <c r="U1062" s="32"/>
      <c r="V1062" s="32"/>
      <c r="W1062" s="32"/>
      <c r="X1062" s="32"/>
      <c r="Y1062" s="32"/>
      <c r="Z1062" s="32"/>
    </row>
    <row r="1063">
      <c r="A1063" s="32"/>
      <c r="B1063" s="32"/>
      <c r="C1063" s="32"/>
      <c r="D1063" s="32"/>
      <c r="E1063" s="32"/>
      <c r="F1063" s="32"/>
      <c r="G1063" s="32"/>
      <c r="H1063" s="32"/>
      <c r="I1063" s="32"/>
      <c r="J1063" s="91"/>
      <c r="K1063" s="32"/>
      <c r="L1063" s="32"/>
      <c r="M1063" s="32"/>
      <c r="N1063" s="32"/>
      <c r="O1063" s="32"/>
      <c r="P1063" s="32"/>
      <c r="Q1063" s="32"/>
      <c r="R1063" s="32"/>
      <c r="S1063" s="32"/>
      <c r="T1063" s="32"/>
      <c r="U1063" s="32"/>
      <c r="V1063" s="32"/>
      <c r="W1063" s="32"/>
      <c r="X1063" s="32"/>
      <c r="Y1063" s="32"/>
      <c r="Z1063" s="32"/>
    </row>
    <row r="1064">
      <c r="A1064" s="32"/>
      <c r="B1064" s="32"/>
      <c r="C1064" s="32"/>
      <c r="D1064" s="32"/>
      <c r="E1064" s="32"/>
      <c r="F1064" s="32"/>
      <c r="G1064" s="32"/>
      <c r="H1064" s="32"/>
      <c r="I1064" s="32"/>
      <c r="J1064" s="91"/>
      <c r="K1064" s="32"/>
      <c r="L1064" s="32"/>
      <c r="M1064" s="32"/>
      <c r="N1064" s="32"/>
      <c r="O1064" s="32"/>
      <c r="P1064" s="32"/>
      <c r="Q1064" s="32"/>
      <c r="R1064" s="32"/>
      <c r="S1064" s="32"/>
      <c r="T1064" s="32"/>
      <c r="U1064" s="32"/>
      <c r="V1064" s="32"/>
      <c r="W1064" s="32"/>
      <c r="X1064" s="32"/>
      <c r="Y1064" s="32"/>
      <c r="Z1064" s="32"/>
    </row>
    <row r="1065">
      <c r="A1065" s="32"/>
      <c r="B1065" s="32"/>
      <c r="C1065" s="32"/>
      <c r="D1065" s="32"/>
      <c r="E1065" s="32"/>
      <c r="F1065" s="32"/>
      <c r="G1065" s="32"/>
      <c r="H1065" s="32"/>
      <c r="I1065" s="32"/>
      <c r="J1065" s="91"/>
      <c r="K1065" s="32"/>
      <c r="L1065" s="32"/>
      <c r="M1065" s="32"/>
      <c r="N1065" s="32"/>
      <c r="O1065" s="32"/>
      <c r="P1065" s="32"/>
      <c r="Q1065" s="32"/>
      <c r="R1065" s="32"/>
      <c r="S1065" s="32"/>
      <c r="T1065" s="32"/>
      <c r="U1065" s="32"/>
      <c r="V1065" s="32"/>
      <c r="W1065" s="32"/>
      <c r="X1065" s="32"/>
      <c r="Y1065" s="32"/>
      <c r="Z1065" s="32"/>
    </row>
    <row r="1066">
      <c r="A1066" s="32"/>
      <c r="B1066" s="32"/>
      <c r="C1066" s="32"/>
      <c r="D1066" s="32"/>
      <c r="E1066" s="32"/>
      <c r="F1066" s="32"/>
      <c r="G1066" s="32"/>
      <c r="H1066" s="32"/>
      <c r="I1066" s="32"/>
      <c r="J1066" s="91"/>
      <c r="K1066" s="32"/>
      <c r="L1066" s="32"/>
      <c r="M1066" s="32"/>
      <c r="N1066" s="32"/>
      <c r="O1066" s="32"/>
      <c r="P1066" s="32"/>
      <c r="Q1066" s="32"/>
      <c r="R1066" s="32"/>
      <c r="S1066" s="32"/>
      <c r="T1066" s="32"/>
      <c r="U1066" s="32"/>
      <c r="V1066" s="32"/>
      <c r="W1066" s="32"/>
      <c r="X1066" s="32"/>
      <c r="Y1066" s="32"/>
      <c r="Z1066" s="32"/>
    </row>
    <row r="1067">
      <c r="A1067" s="32"/>
      <c r="B1067" s="32"/>
      <c r="C1067" s="32"/>
      <c r="D1067" s="32"/>
      <c r="E1067" s="32"/>
      <c r="F1067" s="32"/>
      <c r="G1067" s="32"/>
      <c r="H1067" s="32"/>
      <c r="I1067" s="32"/>
      <c r="J1067" s="91"/>
      <c r="K1067" s="32"/>
      <c r="L1067" s="32"/>
      <c r="M1067" s="32"/>
      <c r="N1067" s="32"/>
      <c r="O1067" s="32"/>
      <c r="P1067" s="32"/>
      <c r="Q1067" s="32"/>
      <c r="R1067" s="32"/>
      <c r="S1067" s="32"/>
      <c r="T1067" s="32"/>
      <c r="U1067" s="32"/>
      <c r="V1067" s="32"/>
      <c r="W1067" s="32"/>
      <c r="X1067" s="32"/>
      <c r="Y1067" s="32"/>
      <c r="Z1067" s="32"/>
    </row>
    <row r="1068">
      <c r="A1068" s="32"/>
      <c r="B1068" s="32"/>
      <c r="C1068" s="32"/>
      <c r="D1068" s="32"/>
      <c r="E1068" s="32"/>
      <c r="F1068" s="32"/>
      <c r="G1068" s="32"/>
      <c r="H1068" s="32"/>
      <c r="I1068" s="32"/>
      <c r="J1068" s="91"/>
      <c r="K1068" s="32"/>
      <c r="L1068" s="32"/>
      <c r="M1068" s="32"/>
      <c r="N1068" s="32"/>
      <c r="O1068" s="32"/>
      <c r="P1068" s="32"/>
      <c r="Q1068" s="32"/>
      <c r="R1068" s="32"/>
      <c r="S1068" s="32"/>
      <c r="T1068" s="32"/>
      <c r="U1068" s="32"/>
      <c r="V1068" s="32"/>
      <c r="W1068" s="32"/>
      <c r="X1068" s="32"/>
      <c r="Y1068" s="32"/>
      <c r="Z1068" s="32"/>
    </row>
    <row r="1069">
      <c r="A1069" s="32"/>
      <c r="B1069" s="32"/>
      <c r="C1069" s="32"/>
      <c r="D1069" s="32"/>
      <c r="E1069" s="32"/>
      <c r="F1069" s="32"/>
      <c r="G1069" s="32"/>
      <c r="H1069" s="32"/>
      <c r="I1069" s="32"/>
      <c r="J1069" s="91"/>
      <c r="K1069" s="32"/>
      <c r="L1069" s="32"/>
      <c r="M1069" s="32"/>
      <c r="N1069" s="32"/>
      <c r="O1069" s="32"/>
      <c r="P1069" s="32"/>
      <c r="Q1069" s="32"/>
      <c r="R1069" s="32"/>
      <c r="S1069" s="32"/>
      <c r="T1069" s="32"/>
      <c r="U1069" s="32"/>
      <c r="V1069" s="32"/>
      <c r="W1069" s="32"/>
      <c r="X1069" s="32"/>
      <c r="Y1069" s="32"/>
      <c r="Z1069" s="32"/>
    </row>
    <row r="1070">
      <c r="A1070" s="32"/>
      <c r="B1070" s="32"/>
      <c r="C1070" s="32"/>
      <c r="D1070" s="32"/>
      <c r="E1070" s="32"/>
      <c r="F1070" s="32"/>
      <c r="G1070" s="32"/>
      <c r="H1070" s="32"/>
      <c r="I1070" s="32"/>
      <c r="J1070" s="91"/>
      <c r="K1070" s="32"/>
      <c r="L1070" s="32"/>
      <c r="M1070" s="32"/>
      <c r="N1070" s="32"/>
      <c r="O1070" s="32"/>
      <c r="P1070" s="32"/>
      <c r="Q1070" s="32"/>
      <c r="R1070" s="32"/>
      <c r="S1070" s="32"/>
      <c r="T1070" s="32"/>
      <c r="U1070" s="32"/>
      <c r="V1070" s="32"/>
      <c r="W1070" s="32"/>
      <c r="X1070" s="32"/>
      <c r="Y1070" s="32"/>
      <c r="Z1070" s="32"/>
    </row>
    <row r="1071">
      <c r="A1071" s="32"/>
      <c r="B1071" s="32"/>
      <c r="C1071" s="32"/>
      <c r="D1071" s="32"/>
      <c r="E1071" s="32"/>
      <c r="F1071" s="32"/>
      <c r="G1071" s="32"/>
      <c r="H1071" s="32"/>
      <c r="I1071" s="32"/>
      <c r="J1071" s="91"/>
      <c r="K1071" s="32"/>
      <c r="L1071" s="32"/>
      <c r="M1071" s="32"/>
      <c r="N1071" s="32"/>
      <c r="O1071" s="32"/>
      <c r="P1071" s="32"/>
      <c r="Q1071" s="32"/>
      <c r="R1071" s="32"/>
      <c r="S1071" s="32"/>
      <c r="T1071" s="32"/>
      <c r="U1071" s="32"/>
      <c r="V1071" s="32"/>
      <c r="W1071" s="32"/>
      <c r="X1071" s="32"/>
      <c r="Y1071" s="32"/>
      <c r="Z1071" s="32"/>
    </row>
    <row r="1072">
      <c r="A1072" s="32"/>
      <c r="B1072" s="32"/>
      <c r="C1072" s="32"/>
      <c r="D1072" s="32"/>
      <c r="E1072" s="32"/>
      <c r="F1072" s="32"/>
      <c r="G1072" s="32"/>
      <c r="H1072" s="32"/>
      <c r="I1072" s="32"/>
      <c r="J1072" s="91"/>
      <c r="K1072" s="32"/>
      <c r="L1072" s="32"/>
      <c r="M1072" s="32"/>
      <c r="N1072" s="32"/>
      <c r="O1072" s="32"/>
      <c r="P1072" s="32"/>
      <c r="Q1072" s="32"/>
      <c r="R1072" s="32"/>
      <c r="S1072" s="32"/>
      <c r="T1072" s="32"/>
      <c r="U1072" s="32"/>
      <c r="V1072" s="32"/>
      <c r="W1072" s="32"/>
      <c r="X1072" s="32"/>
      <c r="Y1072" s="32"/>
      <c r="Z1072" s="32"/>
    </row>
    <row r="1073">
      <c r="A1073" s="32"/>
      <c r="B1073" s="32"/>
      <c r="C1073" s="32"/>
      <c r="D1073" s="32"/>
      <c r="E1073" s="32"/>
      <c r="F1073" s="32"/>
      <c r="G1073" s="32"/>
      <c r="H1073" s="32"/>
      <c r="I1073" s="32"/>
      <c r="J1073" s="91"/>
      <c r="K1073" s="32"/>
      <c r="L1073" s="32"/>
      <c r="M1073" s="32"/>
      <c r="N1073" s="32"/>
      <c r="O1073" s="32"/>
      <c r="P1073" s="32"/>
      <c r="Q1073" s="32"/>
      <c r="R1073" s="32"/>
      <c r="S1073" s="32"/>
      <c r="T1073" s="32"/>
      <c r="U1073" s="32"/>
      <c r="V1073" s="32"/>
      <c r="W1073" s="32"/>
      <c r="X1073" s="32"/>
      <c r="Y1073" s="32"/>
      <c r="Z1073" s="32"/>
    </row>
    <row r="1074">
      <c r="A1074" s="32"/>
      <c r="B1074" s="32"/>
      <c r="C1074" s="32"/>
      <c r="D1074" s="32"/>
      <c r="E1074" s="32"/>
      <c r="F1074" s="32"/>
      <c r="G1074" s="32"/>
      <c r="H1074" s="32"/>
      <c r="I1074" s="32"/>
      <c r="J1074" s="91"/>
      <c r="K1074" s="32"/>
      <c r="L1074" s="32"/>
      <c r="M1074" s="32"/>
      <c r="N1074" s="32"/>
      <c r="O1074" s="32"/>
      <c r="P1074" s="32"/>
      <c r="Q1074" s="32"/>
      <c r="R1074" s="32"/>
      <c r="S1074" s="32"/>
      <c r="T1074" s="32"/>
      <c r="U1074" s="32"/>
      <c r="V1074" s="32"/>
      <c r="W1074" s="32"/>
      <c r="X1074" s="32"/>
      <c r="Y1074" s="32"/>
      <c r="Z1074" s="32"/>
    </row>
    <row r="1075">
      <c r="A1075" s="32"/>
      <c r="B1075" s="32"/>
      <c r="C1075" s="32"/>
      <c r="D1075" s="32"/>
      <c r="E1075" s="32"/>
      <c r="F1075" s="32"/>
      <c r="G1075" s="32"/>
      <c r="H1075" s="32"/>
      <c r="I1075" s="32"/>
      <c r="J1075" s="91"/>
      <c r="K1075" s="32"/>
      <c r="L1075" s="32"/>
      <c r="M1075" s="32"/>
      <c r="N1075" s="32"/>
      <c r="O1075" s="32"/>
      <c r="P1075" s="32"/>
      <c r="Q1075" s="32"/>
      <c r="R1075" s="32"/>
      <c r="S1075" s="32"/>
      <c r="T1075" s="32"/>
      <c r="U1075" s="32"/>
      <c r="V1075" s="32"/>
      <c r="W1075" s="32"/>
      <c r="X1075" s="32"/>
      <c r="Y1075" s="32"/>
      <c r="Z1075" s="32"/>
    </row>
    <row r="1076">
      <c r="A1076" s="32"/>
      <c r="B1076" s="32"/>
      <c r="C1076" s="32"/>
      <c r="D1076" s="32"/>
      <c r="E1076" s="32"/>
      <c r="F1076" s="32"/>
      <c r="G1076" s="32"/>
      <c r="H1076" s="32"/>
      <c r="I1076" s="32"/>
      <c r="J1076" s="91"/>
      <c r="K1076" s="32"/>
      <c r="L1076" s="32"/>
      <c r="M1076" s="32"/>
      <c r="N1076" s="32"/>
      <c r="O1076" s="32"/>
      <c r="P1076" s="32"/>
      <c r="Q1076" s="32"/>
      <c r="R1076" s="32"/>
      <c r="S1076" s="32"/>
      <c r="T1076" s="32"/>
      <c r="U1076" s="32"/>
      <c r="V1076" s="32"/>
      <c r="W1076" s="32"/>
      <c r="X1076" s="32"/>
      <c r="Y1076" s="32"/>
      <c r="Z1076" s="32"/>
    </row>
    <row r="1077">
      <c r="A1077" s="32"/>
      <c r="B1077" s="32"/>
      <c r="C1077" s="32"/>
      <c r="D1077" s="32"/>
      <c r="E1077" s="32"/>
      <c r="F1077" s="32"/>
      <c r="G1077" s="32"/>
      <c r="H1077" s="32"/>
      <c r="I1077" s="32"/>
      <c r="J1077" s="91"/>
      <c r="K1077" s="32"/>
      <c r="L1077" s="32"/>
      <c r="M1077" s="32"/>
      <c r="N1077" s="32"/>
      <c r="O1077" s="32"/>
      <c r="P1077" s="32"/>
      <c r="Q1077" s="32"/>
      <c r="R1077" s="32"/>
      <c r="S1077" s="32"/>
      <c r="T1077" s="32"/>
      <c r="U1077" s="32"/>
      <c r="V1077" s="32"/>
      <c r="W1077" s="32"/>
      <c r="X1077" s="32"/>
      <c r="Y1077" s="32"/>
      <c r="Z1077" s="32"/>
    </row>
    <row r="1078">
      <c r="A1078" s="32"/>
      <c r="B1078" s="32"/>
      <c r="C1078" s="32"/>
      <c r="D1078" s="32"/>
      <c r="E1078" s="32"/>
      <c r="F1078" s="32"/>
      <c r="G1078" s="32"/>
      <c r="H1078" s="32"/>
      <c r="I1078" s="32"/>
      <c r="J1078" s="91"/>
      <c r="K1078" s="32"/>
      <c r="L1078" s="32"/>
      <c r="M1078" s="32"/>
      <c r="N1078" s="32"/>
      <c r="O1078" s="32"/>
      <c r="P1078" s="32"/>
      <c r="Q1078" s="32"/>
      <c r="R1078" s="32"/>
      <c r="S1078" s="32"/>
      <c r="T1078" s="32"/>
      <c r="U1078" s="32"/>
      <c r="V1078" s="32"/>
      <c r="W1078" s="32"/>
      <c r="X1078" s="32"/>
      <c r="Y1078" s="32"/>
      <c r="Z1078" s="32"/>
    </row>
    <row r="1079">
      <c r="A1079" s="32"/>
      <c r="B1079" s="32"/>
      <c r="C1079" s="32"/>
      <c r="D1079" s="32"/>
      <c r="E1079" s="32"/>
      <c r="F1079" s="32"/>
      <c r="G1079" s="32"/>
      <c r="H1079" s="32"/>
      <c r="I1079" s="32"/>
      <c r="J1079" s="91"/>
      <c r="K1079" s="32"/>
      <c r="L1079" s="32"/>
      <c r="M1079" s="32"/>
      <c r="N1079" s="32"/>
      <c r="O1079" s="32"/>
      <c r="P1079" s="32"/>
      <c r="Q1079" s="32"/>
      <c r="R1079" s="32"/>
      <c r="S1079" s="32"/>
      <c r="T1079" s="32"/>
      <c r="U1079" s="32"/>
      <c r="V1079" s="32"/>
      <c r="W1079" s="32"/>
      <c r="X1079" s="32"/>
      <c r="Y1079" s="32"/>
      <c r="Z1079" s="32"/>
    </row>
    <row r="1080">
      <c r="A1080" s="32"/>
      <c r="B1080" s="32"/>
      <c r="C1080" s="32"/>
      <c r="D1080" s="32"/>
      <c r="E1080" s="32"/>
      <c r="F1080" s="32"/>
      <c r="G1080" s="32"/>
      <c r="H1080" s="32"/>
      <c r="I1080" s="32"/>
      <c r="J1080" s="91"/>
      <c r="K1080" s="32"/>
      <c r="L1080" s="32"/>
      <c r="M1080" s="32"/>
      <c r="N1080" s="32"/>
      <c r="O1080" s="32"/>
      <c r="P1080" s="32"/>
      <c r="Q1080" s="32"/>
      <c r="R1080" s="32"/>
      <c r="S1080" s="32"/>
      <c r="T1080" s="32"/>
      <c r="U1080" s="32"/>
      <c r="V1080" s="32"/>
      <c r="W1080" s="32"/>
      <c r="X1080" s="32"/>
      <c r="Y1080" s="32"/>
      <c r="Z1080" s="32"/>
    </row>
    <row r="1081">
      <c r="A1081" s="32"/>
      <c r="B1081" s="32"/>
      <c r="C1081" s="32"/>
      <c r="D1081" s="32"/>
      <c r="E1081" s="32"/>
      <c r="F1081" s="32"/>
      <c r="G1081" s="32"/>
      <c r="H1081" s="32"/>
      <c r="I1081" s="32"/>
      <c r="J1081" s="91"/>
      <c r="K1081" s="32"/>
      <c r="L1081" s="32"/>
      <c r="M1081" s="32"/>
      <c r="N1081" s="32"/>
      <c r="O1081" s="32"/>
      <c r="P1081" s="32"/>
      <c r="Q1081" s="32"/>
      <c r="R1081" s="32"/>
      <c r="S1081" s="32"/>
      <c r="T1081" s="32"/>
      <c r="U1081" s="32"/>
      <c r="V1081" s="32"/>
      <c r="W1081" s="32"/>
      <c r="X1081" s="32"/>
      <c r="Y1081" s="32"/>
      <c r="Z1081" s="32"/>
    </row>
    <row r="1082">
      <c r="A1082" s="32"/>
      <c r="B1082" s="32"/>
      <c r="C1082" s="32"/>
      <c r="D1082" s="32"/>
      <c r="E1082" s="32"/>
      <c r="F1082" s="32"/>
      <c r="G1082" s="32"/>
      <c r="H1082" s="32"/>
      <c r="I1082" s="32"/>
      <c r="J1082" s="91"/>
      <c r="K1082" s="32"/>
      <c r="L1082" s="32"/>
      <c r="M1082" s="32"/>
      <c r="N1082" s="32"/>
      <c r="O1082" s="32"/>
      <c r="P1082" s="32"/>
      <c r="Q1082" s="32"/>
      <c r="R1082" s="32"/>
      <c r="S1082" s="32"/>
      <c r="T1082" s="32"/>
      <c r="U1082" s="32"/>
      <c r="V1082" s="32"/>
      <c r="W1082" s="32"/>
      <c r="X1082" s="32"/>
      <c r="Y1082" s="32"/>
      <c r="Z1082" s="32"/>
    </row>
    <row r="1083">
      <c r="A1083" s="32"/>
      <c r="B1083" s="32"/>
      <c r="C1083" s="32"/>
      <c r="D1083" s="32"/>
      <c r="E1083" s="32"/>
      <c r="F1083" s="32"/>
      <c r="G1083" s="32"/>
      <c r="H1083" s="32"/>
      <c r="I1083" s="32"/>
      <c r="J1083" s="91"/>
      <c r="K1083" s="32"/>
      <c r="L1083" s="32"/>
      <c r="M1083" s="32"/>
      <c r="N1083" s="32"/>
      <c r="O1083" s="32"/>
      <c r="P1083" s="32"/>
      <c r="Q1083" s="32"/>
      <c r="R1083" s="32"/>
      <c r="S1083" s="32"/>
      <c r="T1083" s="32"/>
      <c r="U1083" s="32"/>
      <c r="V1083" s="32"/>
      <c r="W1083" s="32"/>
      <c r="X1083" s="32"/>
      <c r="Y1083" s="32"/>
      <c r="Z1083" s="32"/>
    </row>
    <row r="1084">
      <c r="A1084" s="32"/>
      <c r="B1084" s="32"/>
      <c r="C1084" s="32"/>
      <c r="D1084" s="32"/>
      <c r="E1084" s="32"/>
      <c r="F1084" s="32"/>
      <c r="G1084" s="32"/>
      <c r="H1084" s="32"/>
      <c r="I1084" s="32"/>
      <c r="J1084" s="91"/>
      <c r="K1084" s="32"/>
      <c r="L1084" s="32"/>
      <c r="M1084" s="32"/>
      <c r="N1084" s="32"/>
      <c r="O1084" s="32"/>
      <c r="P1084" s="32"/>
      <c r="Q1084" s="32"/>
      <c r="R1084" s="32"/>
      <c r="S1084" s="32"/>
      <c r="T1084" s="32"/>
      <c r="U1084" s="32"/>
      <c r="V1084" s="32"/>
      <c r="W1084" s="32"/>
      <c r="X1084" s="32"/>
      <c r="Y1084" s="32"/>
      <c r="Z1084" s="32"/>
    </row>
    <row r="1085">
      <c r="A1085" s="32"/>
      <c r="B1085" s="32"/>
      <c r="C1085" s="32"/>
      <c r="D1085" s="32"/>
      <c r="E1085" s="32"/>
      <c r="F1085" s="32"/>
      <c r="G1085" s="32"/>
      <c r="H1085" s="32"/>
      <c r="I1085" s="32"/>
      <c r="J1085" s="91"/>
      <c r="K1085" s="32"/>
      <c r="L1085" s="32"/>
      <c r="M1085" s="32"/>
      <c r="N1085" s="32"/>
      <c r="O1085" s="32"/>
      <c r="P1085" s="32"/>
      <c r="Q1085" s="32"/>
      <c r="R1085" s="32"/>
      <c r="S1085" s="32"/>
      <c r="T1085" s="32"/>
      <c r="U1085" s="32"/>
      <c r="V1085" s="32"/>
      <c r="W1085" s="32"/>
      <c r="X1085" s="32"/>
      <c r="Y1085" s="32"/>
      <c r="Z1085" s="32"/>
    </row>
    <row r="1086">
      <c r="A1086" s="32"/>
      <c r="B1086" s="32"/>
      <c r="C1086" s="32"/>
      <c r="D1086" s="32"/>
      <c r="E1086" s="32"/>
      <c r="F1086" s="32"/>
      <c r="G1086" s="32"/>
      <c r="H1086" s="32"/>
      <c r="I1086" s="32"/>
      <c r="J1086" s="91"/>
      <c r="K1086" s="32"/>
      <c r="L1086" s="32"/>
      <c r="M1086" s="32"/>
      <c r="N1086" s="32"/>
      <c r="O1086" s="32"/>
      <c r="P1086" s="32"/>
      <c r="Q1086" s="32"/>
      <c r="R1086" s="32"/>
      <c r="S1086" s="32"/>
      <c r="T1086" s="32"/>
      <c r="U1086" s="32"/>
      <c r="V1086" s="32"/>
      <c r="W1086" s="32"/>
      <c r="X1086" s="32"/>
      <c r="Y1086" s="32"/>
      <c r="Z1086" s="32"/>
    </row>
    <row r="1087">
      <c r="A1087" s="32"/>
      <c r="B1087" s="32"/>
      <c r="C1087" s="32"/>
      <c r="D1087" s="32"/>
      <c r="E1087" s="32"/>
      <c r="F1087" s="32"/>
      <c r="G1087" s="32"/>
      <c r="H1087" s="32"/>
      <c r="I1087" s="32"/>
      <c r="J1087" s="91"/>
      <c r="K1087" s="32"/>
      <c r="L1087" s="32"/>
      <c r="M1087" s="32"/>
      <c r="N1087" s="32"/>
      <c r="O1087" s="32"/>
      <c r="P1087" s="32"/>
      <c r="Q1087" s="32"/>
      <c r="R1087" s="32"/>
      <c r="S1087" s="32"/>
      <c r="T1087" s="32"/>
      <c r="U1087" s="32"/>
      <c r="V1087" s="32"/>
      <c r="W1087" s="32"/>
      <c r="X1087" s="32"/>
      <c r="Y1087" s="32"/>
      <c r="Z1087" s="32"/>
    </row>
    <row r="1088">
      <c r="A1088" s="32"/>
      <c r="B1088" s="32"/>
      <c r="C1088" s="32"/>
      <c r="D1088" s="32"/>
      <c r="E1088" s="32"/>
      <c r="F1088" s="32"/>
      <c r="G1088" s="32"/>
      <c r="H1088" s="32"/>
      <c r="I1088" s="32"/>
      <c r="J1088" s="91"/>
      <c r="K1088" s="32"/>
      <c r="L1088" s="32"/>
      <c r="M1088" s="32"/>
      <c r="N1088" s="32"/>
      <c r="O1088" s="32"/>
      <c r="P1088" s="32"/>
      <c r="Q1088" s="32"/>
      <c r="R1088" s="32"/>
      <c r="S1088" s="32"/>
      <c r="T1088" s="32"/>
      <c r="U1088" s="32"/>
      <c r="V1088" s="32"/>
      <c r="W1088" s="32"/>
      <c r="X1088" s="32"/>
      <c r="Y1088" s="32"/>
      <c r="Z1088" s="32"/>
    </row>
    <row r="1089">
      <c r="A1089" s="32"/>
      <c r="B1089" s="32"/>
      <c r="C1089" s="32"/>
      <c r="D1089" s="32"/>
      <c r="E1089" s="32"/>
      <c r="F1089" s="32"/>
      <c r="G1089" s="32"/>
      <c r="H1089" s="32"/>
      <c r="I1089" s="32"/>
      <c r="J1089" s="91"/>
      <c r="K1089" s="32"/>
      <c r="L1089" s="32"/>
      <c r="M1089" s="32"/>
      <c r="N1089" s="32"/>
      <c r="O1089" s="32"/>
      <c r="P1089" s="32"/>
      <c r="Q1089" s="32"/>
      <c r="R1089" s="32"/>
      <c r="S1089" s="32"/>
      <c r="T1089" s="32"/>
      <c r="U1089" s="32"/>
      <c r="V1089" s="32"/>
      <c r="W1089" s="32"/>
      <c r="X1089" s="32"/>
      <c r="Y1089" s="32"/>
      <c r="Z1089" s="32"/>
    </row>
    <row r="1090">
      <c r="A1090" s="32"/>
      <c r="B1090" s="32"/>
      <c r="C1090" s="32"/>
      <c r="D1090" s="32"/>
      <c r="E1090" s="32"/>
      <c r="F1090" s="32"/>
      <c r="G1090" s="32"/>
      <c r="H1090" s="32"/>
      <c r="I1090" s="32"/>
      <c r="J1090" s="91"/>
      <c r="K1090" s="32"/>
      <c r="L1090" s="32"/>
      <c r="M1090" s="32"/>
      <c r="N1090" s="32"/>
      <c r="O1090" s="32"/>
      <c r="P1090" s="32"/>
      <c r="Q1090" s="32"/>
      <c r="R1090" s="32"/>
      <c r="S1090" s="32"/>
      <c r="T1090" s="32"/>
      <c r="U1090" s="32"/>
      <c r="V1090" s="32"/>
      <c r="W1090" s="32"/>
      <c r="X1090" s="32"/>
      <c r="Y1090" s="32"/>
      <c r="Z1090" s="32"/>
    </row>
    <row r="1091">
      <c r="A1091" s="32"/>
      <c r="B1091" s="32"/>
      <c r="C1091" s="32"/>
      <c r="D1091" s="32"/>
      <c r="E1091" s="32"/>
      <c r="F1091" s="32"/>
      <c r="G1091" s="32"/>
      <c r="H1091" s="32"/>
      <c r="I1091" s="32"/>
      <c r="J1091" s="91"/>
      <c r="K1091" s="32"/>
      <c r="L1091" s="32"/>
      <c r="M1091" s="32"/>
      <c r="N1091" s="32"/>
      <c r="O1091" s="32"/>
      <c r="P1091" s="32"/>
      <c r="Q1091" s="32"/>
      <c r="R1091" s="32"/>
      <c r="S1091" s="32"/>
      <c r="T1091" s="32"/>
      <c r="U1091" s="32"/>
      <c r="V1091" s="32"/>
      <c r="W1091" s="32"/>
      <c r="X1091" s="32"/>
      <c r="Y1091" s="32"/>
      <c r="Z1091" s="32"/>
    </row>
    <row r="1092">
      <c r="A1092" s="32"/>
      <c r="B1092" s="32"/>
      <c r="C1092" s="32"/>
      <c r="D1092" s="32"/>
      <c r="E1092" s="32"/>
      <c r="F1092" s="32"/>
      <c r="G1092" s="32"/>
      <c r="H1092" s="32"/>
      <c r="I1092" s="32"/>
      <c r="J1092" s="91"/>
      <c r="K1092" s="32"/>
      <c r="L1092" s="32"/>
      <c r="M1092" s="32"/>
      <c r="N1092" s="32"/>
      <c r="O1092" s="32"/>
      <c r="P1092" s="32"/>
      <c r="Q1092" s="32"/>
      <c r="R1092" s="32"/>
      <c r="S1092" s="32"/>
      <c r="T1092" s="32"/>
      <c r="U1092" s="32"/>
      <c r="V1092" s="32"/>
      <c r="W1092" s="32"/>
      <c r="X1092" s="32"/>
      <c r="Y1092" s="32"/>
      <c r="Z1092" s="32"/>
    </row>
    <row r="1093">
      <c r="A1093" s="32"/>
      <c r="B1093" s="32"/>
      <c r="C1093" s="32"/>
      <c r="D1093" s="32"/>
      <c r="E1093" s="32"/>
      <c r="F1093" s="32"/>
      <c r="G1093" s="32"/>
      <c r="H1093" s="32"/>
      <c r="I1093" s="32"/>
      <c r="J1093" s="91"/>
      <c r="K1093" s="32"/>
      <c r="L1093" s="32"/>
      <c r="M1093" s="32"/>
      <c r="N1093" s="32"/>
      <c r="O1093" s="32"/>
      <c r="P1093" s="32"/>
      <c r="Q1093" s="32"/>
      <c r="R1093" s="32"/>
      <c r="S1093" s="32"/>
      <c r="T1093" s="32"/>
      <c r="U1093" s="32"/>
      <c r="V1093" s="32"/>
      <c r="W1093" s="32"/>
      <c r="X1093" s="32"/>
      <c r="Y1093" s="32"/>
      <c r="Z1093" s="32"/>
    </row>
    <row r="1094">
      <c r="A1094" s="32"/>
      <c r="B1094" s="32"/>
      <c r="C1094" s="32"/>
      <c r="D1094" s="32"/>
      <c r="E1094" s="32"/>
      <c r="F1094" s="32"/>
      <c r="G1094" s="32"/>
      <c r="H1094" s="32"/>
      <c r="I1094" s="32"/>
      <c r="J1094" s="91"/>
      <c r="K1094" s="32"/>
      <c r="L1094" s="32"/>
      <c r="M1094" s="32"/>
      <c r="N1094" s="32"/>
      <c r="O1094" s="32"/>
      <c r="P1094" s="32"/>
      <c r="Q1094" s="32"/>
      <c r="R1094" s="32"/>
      <c r="S1094" s="32"/>
      <c r="T1094" s="32"/>
      <c r="U1094" s="32"/>
      <c r="V1094" s="32"/>
      <c r="W1094" s="32"/>
      <c r="X1094" s="32"/>
      <c r="Y1094" s="32"/>
      <c r="Z1094" s="32"/>
    </row>
    <row r="1095">
      <c r="A1095" s="32"/>
      <c r="B1095" s="32"/>
      <c r="C1095" s="32"/>
      <c r="D1095" s="32"/>
      <c r="E1095" s="32"/>
      <c r="F1095" s="32"/>
      <c r="G1095" s="32"/>
      <c r="H1095" s="32"/>
      <c r="I1095" s="32"/>
      <c r="J1095" s="91"/>
      <c r="K1095" s="32"/>
      <c r="L1095" s="32"/>
      <c r="M1095" s="32"/>
      <c r="N1095" s="32"/>
      <c r="O1095" s="32"/>
      <c r="P1095" s="32"/>
      <c r="Q1095" s="32"/>
      <c r="R1095" s="32"/>
      <c r="S1095" s="32"/>
      <c r="T1095" s="32"/>
      <c r="U1095" s="32"/>
      <c r="V1095" s="32"/>
      <c r="W1095" s="32"/>
      <c r="X1095" s="32"/>
      <c r="Y1095" s="32"/>
      <c r="Z1095" s="32"/>
    </row>
    <row r="1096">
      <c r="A1096" s="32"/>
      <c r="B1096" s="32"/>
      <c r="C1096" s="32"/>
      <c r="D1096" s="32"/>
      <c r="E1096" s="32"/>
      <c r="F1096" s="32"/>
      <c r="G1096" s="32"/>
      <c r="H1096" s="32"/>
      <c r="I1096" s="32"/>
      <c r="J1096" s="91"/>
      <c r="K1096" s="32"/>
      <c r="L1096" s="32"/>
      <c r="M1096" s="32"/>
      <c r="N1096" s="32"/>
      <c r="O1096" s="32"/>
      <c r="P1096" s="32"/>
      <c r="Q1096" s="32"/>
      <c r="R1096" s="32"/>
      <c r="S1096" s="32"/>
      <c r="T1096" s="32"/>
      <c r="U1096" s="32"/>
      <c r="V1096" s="32"/>
      <c r="W1096" s="32"/>
      <c r="X1096" s="32"/>
      <c r="Y1096" s="32"/>
      <c r="Z1096" s="32"/>
    </row>
    <row r="1097">
      <c r="A1097" s="32"/>
      <c r="B1097" s="32"/>
      <c r="C1097" s="32"/>
      <c r="D1097" s="32"/>
      <c r="E1097" s="32"/>
      <c r="F1097" s="32"/>
      <c r="G1097" s="32"/>
      <c r="H1097" s="32"/>
      <c r="I1097" s="32"/>
      <c r="J1097" s="91"/>
      <c r="K1097" s="32"/>
      <c r="L1097" s="32"/>
      <c r="M1097" s="32"/>
      <c r="N1097" s="32"/>
      <c r="O1097" s="32"/>
      <c r="P1097" s="32"/>
      <c r="Q1097" s="32"/>
      <c r="R1097" s="32"/>
      <c r="S1097" s="32"/>
      <c r="T1097" s="32"/>
      <c r="U1097" s="32"/>
      <c r="V1097" s="32"/>
      <c r="W1097" s="32"/>
      <c r="X1097" s="32"/>
      <c r="Y1097" s="32"/>
      <c r="Z1097" s="32"/>
    </row>
    <row r="1098">
      <c r="A1098" s="32"/>
      <c r="B1098" s="32"/>
      <c r="C1098" s="32"/>
      <c r="D1098" s="32"/>
      <c r="E1098" s="32"/>
      <c r="F1098" s="32"/>
      <c r="G1098" s="32"/>
      <c r="H1098" s="32"/>
      <c r="I1098" s="32"/>
      <c r="J1098" s="91"/>
      <c r="K1098" s="32"/>
      <c r="L1098" s="32"/>
      <c r="M1098" s="32"/>
      <c r="N1098" s="32"/>
      <c r="O1098" s="32"/>
      <c r="P1098" s="32"/>
      <c r="Q1098" s="32"/>
      <c r="R1098" s="32"/>
      <c r="S1098" s="32"/>
      <c r="T1098" s="32"/>
      <c r="U1098" s="32"/>
      <c r="V1098" s="32"/>
      <c r="W1098" s="32"/>
      <c r="X1098" s="32"/>
      <c r="Y1098" s="32"/>
      <c r="Z1098" s="32"/>
    </row>
    <row r="1099">
      <c r="A1099" s="32"/>
      <c r="B1099" s="32"/>
      <c r="C1099" s="32"/>
      <c r="D1099" s="32"/>
      <c r="E1099" s="32"/>
      <c r="F1099" s="32"/>
      <c r="G1099" s="32"/>
      <c r="H1099" s="32"/>
      <c r="I1099" s="32"/>
      <c r="J1099" s="91"/>
      <c r="K1099" s="32"/>
      <c r="L1099" s="32"/>
      <c r="M1099" s="32"/>
      <c r="N1099" s="32"/>
      <c r="O1099" s="32"/>
      <c r="P1099" s="32"/>
      <c r="Q1099" s="32"/>
      <c r="R1099" s="32"/>
      <c r="S1099" s="32"/>
      <c r="T1099" s="32"/>
      <c r="U1099" s="32"/>
      <c r="V1099" s="32"/>
      <c r="W1099" s="32"/>
      <c r="X1099" s="32"/>
      <c r="Y1099" s="32"/>
      <c r="Z1099" s="32"/>
    </row>
    <row r="1100">
      <c r="A1100" s="32"/>
      <c r="B1100" s="32"/>
      <c r="C1100" s="32"/>
      <c r="D1100" s="32"/>
      <c r="E1100" s="32"/>
      <c r="F1100" s="32"/>
      <c r="G1100" s="32"/>
      <c r="H1100" s="32"/>
      <c r="I1100" s="32"/>
      <c r="J1100" s="91"/>
      <c r="K1100" s="32"/>
      <c r="L1100" s="32"/>
      <c r="M1100" s="32"/>
      <c r="N1100" s="32"/>
      <c r="O1100" s="32"/>
      <c r="P1100" s="32"/>
      <c r="Q1100" s="32"/>
      <c r="R1100" s="32"/>
      <c r="S1100" s="32"/>
      <c r="T1100" s="32"/>
      <c r="U1100" s="32"/>
      <c r="V1100" s="32"/>
      <c r="W1100" s="32"/>
      <c r="X1100" s="32"/>
      <c r="Y1100" s="32"/>
      <c r="Z1100" s="32"/>
    </row>
    <row r="1101">
      <c r="A1101" s="32"/>
      <c r="B1101" s="32"/>
      <c r="C1101" s="32"/>
      <c r="D1101" s="32"/>
      <c r="E1101" s="32"/>
      <c r="F1101" s="32"/>
      <c r="G1101" s="32"/>
      <c r="H1101" s="32"/>
      <c r="I1101" s="32"/>
      <c r="J1101" s="91"/>
      <c r="K1101" s="32"/>
      <c r="L1101" s="32"/>
      <c r="M1101" s="32"/>
      <c r="N1101" s="32"/>
      <c r="O1101" s="32"/>
      <c r="P1101" s="32"/>
      <c r="Q1101" s="32"/>
      <c r="R1101" s="32"/>
      <c r="S1101" s="32"/>
      <c r="T1101" s="32"/>
      <c r="U1101" s="32"/>
      <c r="V1101" s="32"/>
      <c r="W1101" s="32"/>
      <c r="X1101" s="32"/>
      <c r="Y1101" s="32"/>
      <c r="Z1101" s="32"/>
    </row>
    <row r="1102">
      <c r="A1102" s="32"/>
      <c r="B1102" s="32"/>
      <c r="C1102" s="32"/>
      <c r="D1102" s="32"/>
      <c r="E1102" s="32"/>
      <c r="F1102" s="32"/>
      <c r="G1102" s="32"/>
      <c r="H1102" s="32"/>
      <c r="I1102" s="32"/>
      <c r="J1102" s="91"/>
      <c r="K1102" s="32"/>
      <c r="L1102" s="32"/>
      <c r="M1102" s="32"/>
      <c r="N1102" s="32"/>
      <c r="O1102" s="32"/>
      <c r="P1102" s="32"/>
      <c r="Q1102" s="32"/>
      <c r="R1102" s="32"/>
      <c r="S1102" s="32"/>
      <c r="T1102" s="32"/>
      <c r="U1102" s="32"/>
      <c r="V1102" s="32"/>
      <c r="W1102" s="32"/>
      <c r="X1102" s="32"/>
      <c r="Y1102" s="32"/>
      <c r="Z1102" s="32"/>
    </row>
    <row r="1103">
      <c r="A1103" s="32"/>
      <c r="B1103" s="32"/>
      <c r="C1103" s="32"/>
      <c r="D1103" s="32"/>
      <c r="E1103" s="32"/>
      <c r="F1103" s="32"/>
      <c r="G1103" s="32"/>
      <c r="H1103" s="32"/>
      <c r="I1103" s="32"/>
      <c r="J1103" s="91"/>
      <c r="K1103" s="32"/>
      <c r="L1103" s="32"/>
      <c r="M1103" s="32"/>
      <c r="N1103" s="32"/>
      <c r="O1103" s="32"/>
      <c r="P1103" s="32"/>
      <c r="Q1103" s="32"/>
      <c r="R1103" s="32"/>
      <c r="S1103" s="32"/>
      <c r="T1103" s="32"/>
      <c r="U1103" s="32"/>
      <c r="V1103" s="32"/>
      <c r="W1103" s="32"/>
      <c r="X1103" s="32"/>
      <c r="Y1103" s="32"/>
      <c r="Z1103" s="32"/>
    </row>
    <row r="1104">
      <c r="A1104" s="32"/>
      <c r="B1104" s="32"/>
      <c r="C1104" s="32"/>
      <c r="D1104" s="32"/>
      <c r="E1104" s="32"/>
      <c r="F1104" s="32"/>
      <c r="G1104" s="32"/>
      <c r="H1104" s="32"/>
      <c r="I1104" s="32"/>
      <c r="J1104" s="91"/>
      <c r="K1104" s="32"/>
      <c r="L1104" s="32"/>
      <c r="M1104" s="32"/>
      <c r="N1104" s="32"/>
      <c r="O1104" s="32"/>
      <c r="P1104" s="32"/>
      <c r="Q1104" s="32"/>
      <c r="R1104" s="32"/>
      <c r="S1104" s="32"/>
      <c r="T1104" s="32"/>
      <c r="U1104" s="32"/>
      <c r="V1104" s="32"/>
      <c r="W1104" s="32"/>
      <c r="X1104" s="32"/>
      <c r="Y1104" s="32"/>
      <c r="Z1104" s="32"/>
    </row>
    <row r="1105">
      <c r="A1105" s="32"/>
      <c r="B1105" s="32"/>
      <c r="C1105" s="32"/>
      <c r="D1105" s="32"/>
      <c r="E1105" s="32"/>
      <c r="F1105" s="32"/>
      <c r="G1105" s="32"/>
      <c r="H1105" s="32"/>
      <c r="I1105" s="32"/>
      <c r="J1105" s="91"/>
      <c r="K1105" s="32"/>
      <c r="L1105" s="32"/>
      <c r="M1105" s="32"/>
      <c r="N1105" s="32"/>
      <c r="O1105" s="32"/>
      <c r="P1105" s="32"/>
      <c r="Q1105" s="32"/>
      <c r="R1105" s="32"/>
      <c r="S1105" s="32"/>
      <c r="T1105" s="32"/>
      <c r="U1105" s="32"/>
      <c r="V1105" s="32"/>
      <c r="W1105" s="32"/>
      <c r="X1105" s="32"/>
      <c r="Y1105" s="32"/>
      <c r="Z1105" s="32"/>
    </row>
    <row r="1106">
      <c r="A1106" s="32"/>
      <c r="B1106" s="32"/>
      <c r="C1106" s="32"/>
      <c r="D1106" s="32"/>
      <c r="E1106" s="32"/>
      <c r="F1106" s="32"/>
      <c r="G1106" s="32"/>
      <c r="H1106" s="32"/>
      <c r="I1106" s="32"/>
      <c r="J1106" s="91"/>
      <c r="K1106" s="32"/>
      <c r="L1106" s="32"/>
      <c r="M1106" s="32"/>
      <c r="N1106" s="32"/>
      <c r="O1106" s="32"/>
      <c r="P1106" s="32"/>
      <c r="Q1106" s="32"/>
      <c r="R1106" s="32"/>
      <c r="S1106" s="32"/>
      <c r="T1106" s="32"/>
      <c r="U1106" s="32"/>
      <c r="V1106" s="32"/>
      <c r="W1106" s="32"/>
      <c r="X1106" s="32"/>
      <c r="Y1106" s="32"/>
      <c r="Z1106" s="32"/>
    </row>
    <row r="1107">
      <c r="A1107" s="32"/>
      <c r="B1107" s="32"/>
      <c r="C1107" s="32"/>
      <c r="D1107" s="32"/>
      <c r="E1107" s="32"/>
      <c r="F1107" s="32"/>
      <c r="G1107" s="32"/>
      <c r="H1107" s="32"/>
      <c r="I1107" s="32"/>
      <c r="J1107" s="91"/>
      <c r="K1107" s="32"/>
      <c r="L1107" s="32"/>
      <c r="M1107" s="32"/>
      <c r="N1107" s="32"/>
      <c r="O1107" s="32"/>
      <c r="P1107" s="32"/>
      <c r="Q1107" s="32"/>
      <c r="R1107" s="32"/>
      <c r="S1107" s="32"/>
      <c r="T1107" s="32"/>
      <c r="U1107" s="32"/>
      <c r="V1107" s="32"/>
      <c r="W1107" s="32"/>
      <c r="X1107" s="32"/>
      <c r="Y1107" s="32"/>
      <c r="Z1107" s="32"/>
    </row>
    <row r="1108">
      <c r="A1108" s="32"/>
      <c r="B1108" s="32"/>
      <c r="C1108" s="32"/>
      <c r="D1108" s="32"/>
      <c r="E1108" s="32"/>
      <c r="F1108" s="32"/>
      <c r="G1108" s="32"/>
      <c r="H1108" s="32"/>
      <c r="I1108" s="32"/>
      <c r="J1108" s="91"/>
      <c r="K1108" s="32"/>
      <c r="L1108" s="32"/>
      <c r="M1108" s="32"/>
      <c r="N1108" s="32"/>
      <c r="O1108" s="32"/>
      <c r="P1108" s="32"/>
      <c r="Q1108" s="32"/>
      <c r="R1108" s="32"/>
      <c r="S1108" s="32"/>
      <c r="T1108" s="32"/>
      <c r="U1108" s="32"/>
      <c r="V1108" s="32"/>
      <c r="W1108" s="32"/>
      <c r="X1108" s="32"/>
      <c r="Y1108" s="32"/>
      <c r="Z1108" s="32"/>
    </row>
    <row r="1109">
      <c r="A1109" s="32"/>
      <c r="B1109" s="32"/>
      <c r="C1109" s="32"/>
      <c r="D1109" s="32"/>
      <c r="E1109" s="32"/>
      <c r="F1109" s="32"/>
      <c r="G1109" s="32"/>
      <c r="H1109" s="32"/>
      <c r="I1109" s="32"/>
      <c r="J1109" s="91"/>
      <c r="K1109" s="32"/>
      <c r="L1109" s="32"/>
      <c r="M1109" s="32"/>
      <c r="N1109" s="32"/>
      <c r="O1109" s="32"/>
      <c r="P1109" s="32"/>
      <c r="Q1109" s="32"/>
      <c r="R1109" s="32"/>
      <c r="S1109" s="32"/>
      <c r="T1109" s="32"/>
      <c r="U1109" s="32"/>
      <c r="V1109" s="32"/>
      <c r="W1109" s="32"/>
      <c r="X1109" s="32"/>
      <c r="Y1109" s="32"/>
      <c r="Z1109" s="32"/>
    </row>
    <row r="1110">
      <c r="A1110" s="32"/>
      <c r="B1110" s="32"/>
      <c r="C1110" s="32"/>
      <c r="D1110" s="32"/>
      <c r="E1110" s="32"/>
      <c r="F1110" s="32"/>
      <c r="G1110" s="32"/>
      <c r="H1110" s="32"/>
      <c r="I1110" s="32"/>
      <c r="J1110" s="91"/>
      <c r="K1110" s="32"/>
      <c r="L1110" s="32"/>
      <c r="M1110" s="32"/>
      <c r="N1110" s="32"/>
      <c r="O1110" s="32"/>
      <c r="P1110" s="32"/>
      <c r="Q1110" s="32"/>
      <c r="R1110" s="32"/>
      <c r="S1110" s="32"/>
      <c r="T1110" s="32"/>
      <c r="U1110" s="32"/>
      <c r="V1110" s="32"/>
      <c r="W1110" s="32"/>
      <c r="X1110" s="32"/>
      <c r="Y1110" s="32"/>
      <c r="Z1110" s="32"/>
    </row>
    <row r="1111">
      <c r="A1111" s="32"/>
      <c r="B1111" s="32"/>
      <c r="C1111" s="32"/>
      <c r="D1111" s="32"/>
      <c r="E1111" s="32"/>
      <c r="F1111" s="32"/>
      <c r="G1111" s="32"/>
      <c r="H1111" s="32"/>
      <c r="I1111" s="32"/>
      <c r="J1111" s="91"/>
      <c r="K1111" s="32"/>
      <c r="L1111" s="32"/>
      <c r="M1111" s="32"/>
      <c r="N1111" s="32"/>
      <c r="O1111" s="32"/>
      <c r="P1111" s="32"/>
      <c r="Q1111" s="32"/>
      <c r="R1111" s="32"/>
      <c r="S1111" s="32"/>
      <c r="T1111" s="32"/>
      <c r="U1111" s="32"/>
      <c r="V1111" s="32"/>
      <c r="W1111" s="32"/>
      <c r="X1111" s="32"/>
      <c r="Y1111" s="32"/>
      <c r="Z1111" s="32"/>
    </row>
    <row r="1112">
      <c r="A1112" s="32"/>
      <c r="B1112" s="32"/>
      <c r="C1112" s="32"/>
      <c r="D1112" s="32"/>
      <c r="E1112" s="32"/>
      <c r="F1112" s="32"/>
      <c r="G1112" s="32"/>
      <c r="H1112" s="32"/>
      <c r="I1112" s="32"/>
      <c r="J1112" s="91"/>
      <c r="K1112" s="32"/>
      <c r="L1112" s="32"/>
      <c r="M1112" s="32"/>
      <c r="N1112" s="32"/>
      <c r="O1112" s="32"/>
      <c r="P1112" s="32"/>
      <c r="Q1112" s="32"/>
      <c r="R1112" s="32"/>
      <c r="S1112" s="32"/>
      <c r="T1112" s="32"/>
      <c r="U1112" s="32"/>
      <c r="V1112" s="32"/>
      <c r="W1112" s="32"/>
      <c r="X1112" s="32"/>
      <c r="Y1112" s="32"/>
      <c r="Z1112" s="32"/>
    </row>
    <row r="1113">
      <c r="A1113" s="32"/>
      <c r="B1113" s="32"/>
      <c r="C1113" s="32"/>
      <c r="D1113" s="32"/>
      <c r="E1113" s="32"/>
      <c r="F1113" s="32"/>
      <c r="G1113" s="32"/>
      <c r="H1113" s="32"/>
      <c r="I1113" s="32"/>
      <c r="J1113" s="91"/>
      <c r="K1113" s="32"/>
      <c r="L1113" s="32"/>
      <c r="M1113" s="32"/>
      <c r="N1113" s="32"/>
      <c r="O1113" s="32"/>
      <c r="P1113" s="32"/>
      <c r="Q1113" s="32"/>
      <c r="R1113" s="32"/>
      <c r="S1113" s="32"/>
      <c r="T1113" s="32"/>
      <c r="U1113" s="32"/>
      <c r="V1113" s="32"/>
      <c r="W1113" s="32"/>
      <c r="X1113" s="32"/>
      <c r="Y1113" s="32"/>
      <c r="Z1113" s="32"/>
    </row>
    <row r="1114">
      <c r="A1114" s="32"/>
      <c r="B1114" s="32"/>
      <c r="C1114" s="32"/>
      <c r="D1114" s="32"/>
      <c r="E1114" s="32"/>
      <c r="F1114" s="32"/>
      <c r="G1114" s="32"/>
      <c r="H1114" s="32"/>
      <c r="I1114" s="32"/>
      <c r="J1114" s="91"/>
      <c r="K1114" s="32"/>
      <c r="L1114" s="32"/>
      <c r="M1114" s="32"/>
      <c r="N1114" s="32"/>
      <c r="O1114" s="32"/>
      <c r="P1114" s="32"/>
      <c r="Q1114" s="32"/>
      <c r="R1114" s="32"/>
      <c r="S1114" s="32"/>
      <c r="T1114" s="32"/>
      <c r="U1114" s="32"/>
      <c r="V1114" s="32"/>
      <c r="W1114" s="32"/>
      <c r="X1114" s="32"/>
      <c r="Y1114" s="32"/>
      <c r="Z1114" s="32"/>
    </row>
    <row r="1115">
      <c r="A1115" s="32"/>
      <c r="B1115" s="32"/>
      <c r="C1115" s="32"/>
      <c r="D1115" s="32"/>
      <c r="E1115" s="32"/>
      <c r="F1115" s="32"/>
      <c r="G1115" s="32"/>
      <c r="H1115" s="32"/>
      <c r="I1115" s="32"/>
      <c r="J1115" s="91"/>
      <c r="K1115" s="32"/>
      <c r="L1115" s="32"/>
      <c r="M1115" s="32"/>
      <c r="N1115" s="32"/>
      <c r="O1115" s="32"/>
      <c r="P1115" s="32"/>
      <c r="Q1115" s="32"/>
      <c r="R1115" s="32"/>
      <c r="S1115" s="32"/>
      <c r="T1115" s="32"/>
      <c r="U1115" s="32"/>
      <c r="V1115" s="32"/>
      <c r="W1115" s="32"/>
      <c r="X1115" s="32"/>
      <c r="Y1115" s="32"/>
      <c r="Z1115" s="32"/>
    </row>
    <row r="1116">
      <c r="A1116" s="32"/>
      <c r="B1116" s="32"/>
      <c r="C1116" s="32"/>
      <c r="D1116" s="32"/>
      <c r="E1116" s="32"/>
      <c r="F1116" s="32"/>
      <c r="G1116" s="32"/>
      <c r="H1116" s="32"/>
      <c r="I1116" s="32"/>
      <c r="J1116" s="91"/>
      <c r="K1116" s="32"/>
      <c r="L1116" s="32"/>
      <c r="M1116" s="32"/>
      <c r="N1116" s="32"/>
      <c r="O1116" s="32"/>
      <c r="P1116" s="32"/>
      <c r="Q1116" s="32"/>
      <c r="R1116" s="32"/>
      <c r="S1116" s="32"/>
      <c r="T1116" s="32"/>
      <c r="U1116" s="32"/>
      <c r="V1116" s="32"/>
      <c r="W1116" s="32"/>
      <c r="X1116" s="32"/>
      <c r="Y1116" s="32"/>
      <c r="Z1116" s="32"/>
    </row>
    <row r="1117">
      <c r="A1117" s="32"/>
      <c r="B1117" s="32"/>
      <c r="C1117" s="32"/>
      <c r="D1117" s="32"/>
      <c r="E1117" s="32"/>
      <c r="F1117" s="32"/>
      <c r="G1117" s="32"/>
      <c r="H1117" s="32"/>
      <c r="I1117" s="32"/>
      <c r="J1117" s="91"/>
      <c r="K1117" s="32"/>
      <c r="L1117" s="32"/>
      <c r="M1117" s="32"/>
      <c r="N1117" s="32"/>
      <c r="O1117" s="32"/>
      <c r="P1117" s="32"/>
      <c r="Q1117" s="32"/>
      <c r="R1117" s="32"/>
      <c r="S1117" s="32"/>
      <c r="T1117" s="32"/>
      <c r="U1117" s="32"/>
      <c r="V1117" s="32"/>
      <c r="W1117" s="32"/>
      <c r="X1117" s="32"/>
      <c r="Y1117" s="32"/>
      <c r="Z1117" s="32"/>
    </row>
    <row r="1118">
      <c r="A1118" s="32"/>
      <c r="B1118" s="32"/>
      <c r="C1118" s="32"/>
      <c r="D1118" s="32"/>
      <c r="E1118" s="32"/>
      <c r="F1118" s="32"/>
      <c r="G1118" s="32"/>
      <c r="H1118" s="32"/>
      <c r="I1118" s="32"/>
      <c r="J1118" s="91"/>
      <c r="K1118" s="32"/>
      <c r="L1118" s="32"/>
      <c r="M1118" s="32"/>
      <c r="N1118" s="32"/>
      <c r="O1118" s="32"/>
      <c r="P1118" s="32"/>
      <c r="Q1118" s="32"/>
      <c r="R1118" s="32"/>
      <c r="S1118" s="32"/>
      <c r="T1118" s="32"/>
      <c r="U1118" s="32"/>
      <c r="V1118" s="32"/>
      <c r="W1118" s="32"/>
      <c r="X1118" s="32"/>
      <c r="Y1118" s="32"/>
      <c r="Z1118" s="32"/>
    </row>
    <row r="1119">
      <c r="A1119" s="32"/>
      <c r="B1119" s="32"/>
      <c r="C1119" s="32"/>
      <c r="D1119" s="32"/>
      <c r="E1119" s="32"/>
      <c r="F1119" s="32"/>
      <c r="G1119" s="32"/>
      <c r="H1119" s="32"/>
      <c r="I1119" s="32"/>
      <c r="J1119" s="91"/>
      <c r="K1119" s="32"/>
      <c r="L1119" s="32"/>
      <c r="M1119" s="32"/>
      <c r="N1119" s="32"/>
      <c r="O1119" s="32"/>
      <c r="P1119" s="32"/>
      <c r="Q1119" s="32"/>
      <c r="R1119" s="32"/>
      <c r="S1119" s="32"/>
      <c r="T1119" s="32"/>
      <c r="U1119" s="32"/>
      <c r="V1119" s="32"/>
      <c r="W1119" s="32"/>
      <c r="X1119" s="32"/>
      <c r="Y1119" s="32"/>
      <c r="Z1119" s="32"/>
    </row>
    <row r="1120">
      <c r="A1120" s="32"/>
      <c r="B1120" s="32"/>
      <c r="C1120" s="32"/>
      <c r="D1120" s="32"/>
      <c r="E1120" s="32"/>
      <c r="F1120" s="32"/>
      <c r="G1120" s="32"/>
      <c r="H1120" s="32"/>
      <c r="I1120" s="32"/>
      <c r="J1120" s="91"/>
      <c r="K1120" s="32"/>
      <c r="L1120" s="32"/>
      <c r="M1120" s="32"/>
      <c r="N1120" s="32"/>
      <c r="O1120" s="32"/>
      <c r="P1120" s="32"/>
      <c r="Q1120" s="32"/>
      <c r="R1120" s="32"/>
      <c r="S1120" s="32"/>
      <c r="T1120" s="32"/>
      <c r="U1120" s="32"/>
      <c r="V1120" s="32"/>
      <c r="W1120" s="32"/>
      <c r="X1120" s="32"/>
      <c r="Y1120" s="32"/>
      <c r="Z1120" s="32"/>
    </row>
    <row r="1121">
      <c r="A1121" s="32"/>
      <c r="B1121" s="32"/>
      <c r="C1121" s="32"/>
      <c r="D1121" s="32"/>
      <c r="E1121" s="32"/>
      <c r="F1121" s="32"/>
      <c r="G1121" s="32"/>
      <c r="H1121" s="32"/>
      <c r="I1121" s="32"/>
      <c r="J1121" s="91"/>
      <c r="K1121" s="32"/>
      <c r="L1121" s="32"/>
      <c r="M1121" s="32"/>
      <c r="N1121" s="32"/>
      <c r="O1121" s="32"/>
      <c r="P1121" s="32"/>
      <c r="Q1121" s="32"/>
      <c r="R1121" s="32"/>
      <c r="S1121" s="32"/>
      <c r="T1121" s="32"/>
      <c r="U1121" s="32"/>
      <c r="V1121" s="32"/>
      <c r="W1121" s="32"/>
      <c r="X1121" s="32"/>
      <c r="Y1121" s="32"/>
      <c r="Z1121" s="32"/>
    </row>
    <row r="1122">
      <c r="A1122" s="32"/>
      <c r="B1122" s="32"/>
      <c r="C1122" s="32"/>
      <c r="D1122" s="32"/>
      <c r="E1122" s="32"/>
      <c r="F1122" s="32"/>
      <c r="G1122" s="32"/>
      <c r="H1122" s="32"/>
      <c r="I1122" s="32"/>
      <c r="J1122" s="91"/>
      <c r="K1122" s="32"/>
      <c r="L1122" s="32"/>
      <c r="M1122" s="32"/>
      <c r="N1122" s="32"/>
      <c r="O1122" s="32"/>
      <c r="P1122" s="32"/>
      <c r="Q1122" s="32"/>
      <c r="R1122" s="32"/>
      <c r="S1122" s="32"/>
      <c r="T1122" s="32"/>
      <c r="U1122" s="32"/>
      <c r="V1122" s="32"/>
      <c r="W1122" s="32"/>
      <c r="X1122" s="32"/>
      <c r="Y1122" s="32"/>
      <c r="Z1122" s="32"/>
    </row>
    <row r="1123">
      <c r="A1123" s="32"/>
      <c r="B1123" s="32"/>
      <c r="C1123" s="32"/>
      <c r="D1123" s="32"/>
      <c r="E1123" s="32"/>
      <c r="F1123" s="32"/>
      <c r="G1123" s="32"/>
      <c r="H1123" s="32"/>
      <c r="I1123" s="32"/>
      <c r="J1123" s="91"/>
      <c r="K1123" s="32"/>
      <c r="L1123" s="32"/>
      <c r="M1123" s="32"/>
      <c r="N1123" s="32"/>
      <c r="O1123" s="32"/>
      <c r="P1123" s="32"/>
      <c r="Q1123" s="32"/>
      <c r="R1123" s="32"/>
      <c r="S1123" s="32"/>
      <c r="T1123" s="32"/>
      <c r="U1123" s="32"/>
      <c r="V1123" s="32"/>
      <c r="W1123" s="32"/>
      <c r="X1123" s="32"/>
      <c r="Y1123" s="32"/>
      <c r="Z1123" s="32"/>
    </row>
    <row r="1124">
      <c r="A1124" s="32"/>
      <c r="B1124" s="32"/>
      <c r="C1124" s="32"/>
      <c r="D1124" s="32"/>
      <c r="E1124" s="32"/>
      <c r="F1124" s="32"/>
      <c r="G1124" s="32"/>
      <c r="H1124" s="32"/>
      <c r="I1124" s="32"/>
      <c r="J1124" s="91"/>
      <c r="K1124" s="32"/>
      <c r="L1124" s="32"/>
      <c r="M1124" s="32"/>
      <c r="N1124" s="32"/>
      <c r="O1124" s="32"/>
      <c r="P1124" s="32"/>
      <c r="Q1124" s="32"/>
      <c r="R1124" s="32"/>
      <c r="S1124" s="32"/>
      <c r="T1124" s="32"/>
      <c r="U1124" s="32"/>
      <c r="V1124" s="32"/>
      <c r="W1124" s="32"/>
      <c r="X1124" s="32"/>
      <c r="Y1124" s="32"/>
      <c r="Z1124" s="32"/>
    </row>
    <row r="1125">
      <c r="A1125" s="32"/>
      <c r="B1125" s="32"/>
      <c r="C1125" s="32"/>
      <c r="D1125" s="32"/>
      <c r="E1125" s="32"/>
      <c r="F1125" s="32"/>
      <c r="G1125" s="32"/>
      <c r="H1125" s="32"/>
      <c r="I1125" s="32"/>
      <c r="J1125" s="91"/>
      <c r="K1125" s="32"/>
      <c r="L1125" s="32"/>
      <c r="M1125" s="32"/>
      <c r="N1125" s="32"/>
      <c r="O1125" s="32"/>
      <c r="P1125" s="32"/>
      <c r="Q1125" s="32"/>
      <c r="R1125" s="32"/>
      <c r="S1125" s="32"/>
      <c r="T1125" s="32"/>
      <c r="U1125" s="32"/>
      <c r="V1125" s="32"/>
      <c r="W1125" s="32"/>
      <c r="X1125" s="32"/>
      <c r="Y1125" s="32"/>
      <c r="Z1125" s="32"/>
    </row>
    <row r="1126">
      <c r="A1126" s="32"/>
      <c r="B1126" s="32"/>
      <c r="C1126" s="32"/>
      <c r="D1126" s="32"/>
      <c r="E1126" s="32"/>
      <c r="F1126" s="32"/>
      <c r="G1126" s="32"/>
      <c r="H1126" s="32"/>
      <c r="I1126" s="32"/>
      <c r="J1126" s="91"/>
      <c r="K1126" s="32"/>
      <c r="L1126" s="32"/>
      <c r="M1126" s="32"/>
      <c r="N1126" s="32"/>
      <c r="O1126" s="32"/>
      <c r="P1126" s="32"/>
      <c r="Q1126" s="32"/>
      <c r="R1126" s="32"/>
      <c r="S1126" s="32"/>
      <c r="T1126" s="32"/>
      <c r="U1126" s="32"/>
      <c r="V1126" s="32"/>
      <c r="W1126" s="32"/>
      <c r="X1126" s="32"/>
      <c r="Y1126" s="32"/>
      <c r="Z1126" s="32"/>
    </row>
    <row r="1127">
      <c r="A1127" s="32"/>
      <c r="B1127" s="32"/>
      <c r="C1127" s="32"/>
      <c r="D1127" s="32"/>
      <c r="E1127" s="32"/>
      <c r="F1127" s="32"/>
      <c r="G1127" s="32"/>
      <c r="H1127" s="32"/>
      <c r="I1127" s="32"/>
      <c r="J1127" s="91"/>
      <c r="K1127" s="32"/>
      <c r="L1127" s="32"/>
      <c r="M1127" s="32"/>
      <c r="N1127" s="32"/>
      <c r="O1127" s="32"/>
      <c r="P1127" s="32"/>
      <c r="Q1127" s="32"/>
      <c r="R1127" s="32"/>
      <c r="S1127" s="32"/>
      <c r="T1127" s="32"/>
      <c r="U1127" s="32"/>
      <c r="V1127" s="32"/>
      <c r="W1127" s="32"/>
      <c r="X1127" s="32"/>
      <c r="Y1127" s="32"/>
      <c r="Z1127" s="32"/>
    </row>
    <row r="1128">
      <c r="A1128" s="32"/>
      <c r="B1128" s="32"/>
      <c r="C1128" s="32"/>
      <c r="D1128" s="32"/>
      <c r="E1128" s="32"/>
      <c r="F1128" s="32"/>
      <c r="G1128" s="32"/>
      <c r="H1128" s="32"/>
      <c r="I1128" s="32"/>
      <c r="J1128" s="91"/>
      <c r="K1128" s="32"/>
      <c r="L1128" s="32"/>
      <c r="M1128" s="32"/>
      <c r="N1128" s="32"/>
      <c r="O1128" s="32"/>
      <c r="P1128" s="32"/>
      <c r="Q1128" s="32"/>
      <c r="R1128" s="32"/>
      <c r="S1128" s="32"/>
      <c r="T1128" s="32"/>
      <c r="U1128" s="32"/>
      <c r="V1128" s="32"/>
      <c r="W1128" s="32"/>
      <c r="X1128" s="32"/>
      <c r="Y1128" s="32"/>
      <c r="Z1128" s="32"/>
    </row>
    <row r="1129">
      <c r="A1129" s="32"/>
      <c r="B1129" s="32"/>
      <c r="C1129" s="32"/>
      <c r="D1129" s="32"/>
      <c r="E1129" s="32"/>
      <c r="F1129" s="32"/>
      <c r="G1129" s="32"/>
      <c r="H1129" s="32"/>
      <c r="I1129" s="32"/>
      <c r="J1129" s="91"/>
      <c r="K1129" s="32"/>
      <c r="L1129" s="32"/>
      <c r="M1129" s="32"/>
      <c r="N1129" s="32"/>
      <c r="O1129" s="32"/>
      <c r="P1129" s="32"/>
      <c r="Q1129" s="32"/>
      <c r="R1129" s="32"/>
      <c r="S1129" s="32"/>
      <c r="T1129" s="32"/>
      <c r="U1129" s="32"/>
      <c r="V1129" s="32"/>
      <c r="W1129" s="32"/>
      <c r="X1129" s="32"/>
      <c r="Y1129" s="32"/>
      <c r="Z1129" s="32"/>
    </row>
    <row r="1130">
      <c r="A1130" s="32"/>
      <c r="B1130" s="32"/>
      <c r="C1130" s="32"/>
      <c r="D1130" s="32"/>
      <c r="E1130" s="32"/>
      <c r="F1130" s="32"/>
      <c r="G1130" s="32"/>
      <c r="H1130" s="32"/>
      <c r="I1130" s="32"/>
      <c r="J1130" s="91"/>
      <c r="K1130" s="32"/>
      <c r="L1130" s="32"/>
      <c r="M1130" s="32"/>
      <c r="N1130" s="32"/>
      <c r="O1130" s="32"/>
      <c r="P1130" s="32"/>
      <c r="Q1130" s="32"/>
      <c r="R1130" s="32"/>
      <c r="S1130" s="32"/>
      <c r="T1130" s="32"/>
      <c r="U1130" s="32"/>
      <c r="V1130" s="32"/>
      <c r="W1130" s="32"/>
      <c r="X1130" s="32"/>
      <c r="Y1130" s="32"/>
      <c r="Z1130" s="32"/>
    </row>
    <row r="1131">
      <c r="A1131" s="32"/>
      <c r="B1131" s="32"/>
      <c r="C1131" s="32"/>
      <c r="D1131" s="32"/>
      <c r="E1131" s="32"/>
      <c r="F1131" s="32"/>
      <c r="G1131" s="32"/>
      <c r="H1131" s="32"/>
      <c r="I1131" s="32"/>
      <c r="J1131" s="91"/>
      <c r="K1131" s="32"/>
      <c r="L1131" s="32"/>
      <c r="M1131" s="32"/>
      <c r="N1131" s="32"/>
      <c r="O1131" s="32"/>
      <c r="P1131" s="32"/>
      <c r="Q1131" s="32"/>
      <c r="R1131" s="32"/>
      <c r="S1131" s="32"/>
      <c r="T1131" s="32"/>
      <c r="U1131" s="32"/>
      <c r="V1131" s="32"/>
      <c r="W1131" s="32"/>
      <c r="X1131" s="32"/>
      <c r="Y1131" s="32"/>
      <c r="Z1131" s="32"/>
    </row>
    <row r="1132">
      <c r="A1132" s="32"/>
      <c r="B1132" s="32"/>
      <c r="C1132" s="32"/>
      <c r="D1132" s="32"/>
      <c r="E1132" s="32"/>
      <c r="F1132" s="32"/>
      <c r="G1132" s="32"/>
      <c r="H1132" s="32"/>
      <c r="I1132" s="32"/>
      <c r="J1132" s="91"/>
      <c r="K1132" s="32"/>
      <c r="L1132" s="32"/>
      <c r="M1132" s="32"/>
      <c r="N1132" s="32"/>
      <c r="O1132" s="32"/>
      <c r="P1132" s="32"/>
      <c r="Q1132" s="32"/>
      <c r="R1132" s="32"/>
      <c r="S1132" s="32"/>
      <c r="T1132" s="32"/>
      <c r="U1132" s="32"/>
      <c r="V1132" s="32"/>
      <c r="W1132" s="32"/>
      <c r="X1132" s="32"/>
      <c r="Y1132" s="32"/>
      <c r="Z1132" s="32"/>
    </row>
    <row r="1133">
      <c r="A1133" s="32"/>
      <c r="B1133" s="32"/>
      <c r="C1133" s="32"/>
      <c r="D1133" s="32"/>
      <c r="E1133" s="32"/>
      <c r="F1133" s="32"/>
      <c r="G1133" s="32"/>
      <c r="H1133" s="32"/>
      <c r="I1133" s="32"/>
      <c r="J1133" s="91"/>
      <c r="K1133" s="32"/>
      <c r="L1133" s="32"/>
      <c r="M1133" s="32"/>
      <c r="N1133" s="32"/>
      <c r="O1133" s="32"/>
      <c r="P1133" s="32"/>
      <c r="Q1133" s="32"/>
      <c r="R1133" s="32"/>
      <c r="S1133" s="32"/>
      <c r="T1133" s="32"/>
      <c r="U1133" s="32"/>
      <c r="V1133" s="32"/>
      <c r="W1133" s="32"/>
      <c r="X1133" s="32"/>
      <c r="Y1133" s="32"/>
      <c r="Z1133" s="32"/>
    </row>
    <row r="1134">
      <c r="A1134" s="32"/>
      <c r="B1134" s="32"/>
      <c r="C1134" s="32"/>
      <c r="D1134" s="32"/>
      <c r="E1134" s="32"/>
      <c r="F1134" s="32"/>
      <c r="G1134" s="32"/>
      <c r="H1134" s="32"/>
      <c r="I1134" s="32"/>
      <c r="J1134" s="91"/>
      <c r="K1134" s="32"/>
      <c r="L1134" s="32"/>
      <c r="M1134" s="32"/>
      <c r="N1134" s="32"/>
      <c r="O1134" s="32"/>
      <c r="P1134" s="32"/>
      <c r="Q1134" s="32"/>
      <c r="R1134" s="32"/>
      <c r="S1134" s="32"/>
      <c r="T1134" s="32"/>
      <c r="U1134" s="32"/>
      <c r="V1134" s="32"/>
      <c r="W1134" s="32"/>
      <c r="X1134" s="32"/>
      <c r="Y1134" s="32"/>
      <c r="Z1134" s="32"/>
    </row>
    <row r="1135">
      <c r="A1135" s="32"/>
      <c r="B1135" s="32"/>
      <c r="C1135" s="32"/>
      <c r="D1135" s="32"/>
      <c r="E1135" s="32"/>
      <c r="F1135" s="32"/>
      <c r="G1135" s="32"/>
      <c r="H1135" s="32"/>
      <c r="I1135" s="32"/>
      <c r="J1135" s="91"/>
      <c r="K1135" s="32"/>
      <c r="L1135" s="32"/>
      <c r="M1135" s="32"/>
      <c r="N1135" s="32"/>
      <c r="O1135" s="32"/>
      <c r="P1135" s="32"/>
      <c r="Q1135" s="32"/>
      <c r="R1135" s="32"/>
      <c r="S1135" s="32"/>
      <c r="T1135" s="32"/>
      <c r="U1135" s="32"/>
      <c r="V1135" s="32"/>
      <c r="W1135" s="32"/>
      <c r="X1135" s="32"/>
      <c r="Y1135" s="32"/>
      <c r="Z1135" s="32"/>
    </row>
    <row r="1136">
      <c r="A1136" s="32"/>
      <c r="B1136" s="32"/>
      <c r="C1136" s="32"/>
      <c r="D1136" s="32"/>
      <c r="E1136" s="32"/>
      <c r="F1136" s="32"/>
      <c r="G1136" s="32"/>
      <c r="H1136" s="32"/>
      <c r="I1136" s="32"/>
      <c r="J1136" s="91"/>
      <c r="K1136" s="32"/>
      <c r="L1136" s="32"/>
      <c r="M1136" s="32"/>
      <c r="N1136" s="32"/>
      <c r="O1136" s="32"/>
      <c r="P1136" s="32"/>
      <c r="Q1136" s="32"/>
      <c r="R1136" s="32"/>
      <c r="S1136" s="32"/>
      <c r="T1136" s="32"/>
      <c r="U1136" s="32"/>
      <c r="V1136" s="32"/>
      <c r="W1136" s="32"/>
      <c r="X1136" s="32"/>
      <c r="Y1136" s="32"/>
      <c r="Z1136" s="32"/>
    </row>
    <row r="1137">
      <c r="A1137" s="32"/>
      <c r="B1137" s="32"/>
      <c r="C1137" s="32"/>
      <c r="D1137" s="32"/>
      <c r="E1137" s="32"/>
      <c r="F1137" s="32"/>
      <c r="G1137" s="32"/>
      <c r="H1137" s="32"/>
      <c r="I1137" s="32"/>
      <c r="J1137" s="91"/>
      <c r="K1137" s="32"/>
      <c r="L1137" s="32"/>
      <c r="M1137" s="32"/>
      <c r="N1137" s="32"/>
      <c r="O1137" s="32"/>
      <c r="P1137" s="32"/>
      <c r="Q1137" s="32"/>
      <c r="R1137" s="32"/>
      <c r="S1137" s="32"/>
      <c r="T1137" s="32"/>
      <c r="U1137" s="32"/>
      <c r="V1137" s="32"/>
      <c r="W1137" s="32"/>
      <c r="X1137" s="32"/>
      <c r="Y1137" s="32"/>
      <c r="Z1137" s="32"/>
    </row>
    <row r="1138">
      <c r="A1138" s="32"/>
      <c r="B1138" s="32"/>
      <c r="C1138" s="32"/>
      <c r="D1138" s="32"/>
      <c r="E1138" s="32"/>
      <c r="F1138" s="32"/>
      <c r="G1138" s="32"/>
      <c r="H1138" s="32"/>
      <c r="I1138" s="32"/>
      <c r="J1138" s="91"/>
      <c r="K1138" s="32"/>
      <c r="L1138" s="32"/>
      <c r="M1138" s="32"/>
      <c r="N1138" s="32"/>
      <c r="O1138" s="32"/>
      <c r="P1138" s="32"/>
      <c r="Q1138" s="32"/>
      <c r="R1138" s="32"/>
      <c r="S1138" s="32"/>
      <c r="T1138" s="32"/>
      <c r="U1138" s="32"/>
      <c r="V1138" s="32"/>
      <c r="W1138" s="32"/>
      <c r="X1138" s="32"/>
      <c r="Y1138" s="32"/>
      <c r="Z1138" s="32"/>
    </row>
    <row r="1139">
      <c r="A1139" s="32"/>
      <c r="B1139" s="32"/>
      <c r="C1139" s="32"/>
      <c r="D1139" s="32"/>
      <c r="E1139" s="32"/>
      <c r="F1139" s="32"/>
      <c r="G1139" s="32"/>
      <c r="H1139" s="32"/>
      <c r="I1139" s="32"/>
      <c r="J1139" s="91"/>
      <c r="K1139" s="32"/>
      <c r="L1139" s="32"/>
      <c r="M1139" s="32"/>
      <c r="N1139" s="32"/>
      <c r="O1139" s="32"/>
      <c r="P1139" s="32"/>
      <c r="Q1139" s="32"/>
      <c r="R1139" s="32"/>
      <c r="S1139" s="32"/>
      <c r="T1139" s="32"/>
      <c r="U1139" s="32"/>
      <c r="V1139" s="32"/>
      <c r="W1139" s="32"/>
      <c r="X1139" s="32"/>
      <c r="Y1139" s="32"/>
      <c r="Z1139" s="32"/>
    </row>
    <row r="1140">
      <c r="A1140" s="32"/>
      <c r="B1140" s="32"/>
      <c r="C1140" s="32"/>
      <c r="D1140" s="32"/>
      <c r="E1140" s="32"/>
      <c r="F1140" s="32"/>
      <c r="G1140" s="32"/>
      <c r="H1140" s="32"/>
      <c r="I1140" s="32"/>
      <c r="J1140" s="91"/>
      <c r="K1140" s="32"/>
      <c r="L1140" s="32"/>
      <c r="M1140" s="32"/>
      <c r="N1140" s="32"/>
      <c r="O1140" s="32"/>
      <c r="P1140" s="32"/>
      <c r="Q1140" s="32"/>
      <c r="R1140" s="32"/>
      <c r="S1140" s="32"/>
      <c r="T1140" s="32"/>
      <c r="U1140" s="32"/>
      <c r="V1140" s="32"/>
      <c r="W1140" s="32"/>
      <c r="X1140" s="32"/>
      <c r="Y1140" s="32"/>
      <c r="Z1140" s="32"/>
    </row>
    <row r="1141">
      <c r="A1141" s="32"/>
      <c r="B1141" s="32"/>
      <c r="C1141" s="32"/>
      <c r="D1141" s="32"/>
      <c r="E1141" s="32"/>
      <c r="F1141" s="32"/>
      <c r="G1141" s="32"/>
      <c r="H1141" s="32"/>
      <c r="I1141" s="32"/>
      <c r="J1141" s="91"/>
      <c r="K1141" s="32"/>
      <c r="L1141" s="32"/>
      <c r="M1141" s="32"/>
      <c r="N1141" s="32"/>
      <c r="O1141" s="32"/>
      <c r="P1141" s="32"/>
      <c r="Q1141" s="32"/>
      <c r="R1141" s="32"/>
      <c r="S1141" s="32"/>
      <c r="T1141" s="32"/>
      <c r="U1141" s="32"/>
      <c r="V1141" s="32"/>
      <c r="W1141" s="32"/>
      <c r="X1141" s="32"/>
      <c r="Y1141" s="32"/>
      <c r="Z1141" s="32"/>
    </row>
    <row r="1142">
      <c r="A1142" s="32"/>
      <c r="B1142" s="32"/>
      <c r="C1142" s="32"/>
      <c r="D1142" s="32"/>
      <c r="E1142" s="32"/>
      <c r="F1142" s="32"/>
      <c r="G1142" s="32"/>
      <c r="H1142" s="32"/>
      <c r="I1142" s="32"/>
      <c r="J1142" s="91"/>
      <c r="K1142" s="32"/>
      <c r="L1142" s="32"/>
      <c r="M1142" s="32"/>
      <c r="N1142" s="32"/>
      <c r="O1142" s="32"/>
      <c r="P1142" s="32"/>
      <c r="Q1142" s="32"/>
      <c r="R1142" s="32"/>
      <c r="S1142" s="32"/>
      <c r="T1142" s="32"/>
      <c r="U1142" s="32"/>
      <c r="V1142" s="32"/>
      <c r="W1142" s="32"/>
      <c r="X1142" s="32"/>
      <c r="Y1142" s="32"/>
      <c r="Z1142" s="32"/>
    </row>
    <row r="1143">
      <c r="A1143" s="32"/>
      <c r="B1143" s="32"/>
      <c r="C1143" s="32"/>
      <c r="D1143" s="32"/>
      <c r="E1143" s="32"/>
      <c r="F1143" s="32"/>
      <c r="G1143" s="32"/>
      <c r="H1143" s="32"/>
      <c r="I1143" s="32"/>
      <c r="J1143" s="91"/>
      <c r="K1143" s="32"/>
      <c r="L1143" s="32"/>
      <c r="M1143" s="32"/>
      <c r="N1143" s="32"/>
      <c r="O1143" s="32"/>
      <c r="P1143" s="32"/>
      <c r="Q1143" s="32"/>
      <c r="R1143" s="32"/>
      <c r="S1143" s="32"/>
      <c r="T1143" s="32"/>
      <c r="U1143" s="32"/>
      <c r="V1143" s="32"/>
      <c r="W1143" s="32"/>
      <c r="X1143" s="32"/>
      <c r="Y1143" s="32"/>
      <c r="Z1143" s="32"/>
    </row>
    <row r="1144">
      <c r="A1144" s="32"/>
      <c r="B1144" s="32"/>
      <c r="C1144" s="32"/>
      <c r="D1144" s="32"/>
      <c r="E1144" s="32"/>
      <c r="F1144" s="32"/>
      <c r="G1144" s="32"/>
      <c r="H1144" s="32"/>
      <c r="I1144" s="32"/>
      <c r="J1144" s="91"/>
      <c r="K1144" s="32"/>
      <c r="L1144" s="32"/>
      <c r="M1144" s="32"/>
      <c r="N1144" s="32"/>
      <c r="O1144" s="32"/>
      <c r="P1144" s="32"/>
      <c r="Q1144" s="32"/>
      <c r="R1144" s="32"/>
      <c r="S1144" s="32"/>
      <c r="T1144" s="32"/>
      <c r="U1144" s="32"/>
      <c r="V1144" s="32"/>
      <c r="W1144" s="32"/>
      <c r="X1144" s="32"/>
      <c r="Y1144" s="32"/>
      <c r="Z1144" s="32"/>
    </row>
    <row r="1145">
      <c r="A1145" s="32"/>
      <c r="B1145" s="32"/>
      <c r="C1145" s="32"/>
      <c r="D1145" s="32"/>
      <c r="E1145" s="32"/>
      <c r="F1145" s="32"/>
      <c r="G1145" s="32"/>
      <c r="H1145" s="32"/>
      <c r="I1145" s="32"/>
      <c r="J1145" s="91"/>
      <c r="K1145" s="32"/>
      <c r="L1145" s="32"/>
      <c r="M1145" s="32"/>
      <c r="N1145" s="32"/>
      <c r="O1145" s="32"/>
      <c r="P1145" s="32"/>
      <c r="Q1145" s="32"/>
      <c r="R1145" s="32"/>
      <c r="S1145" s="32"/>
      <c r="T1145" s="32"/>
      <c r="U1145" s="32"/>
      <c r="V1145" s="32"/>
      <c r="W1145" s="32"/>
      <c r="X1145" s="32"/>
      <c r="Y1145" s="32"/>
      <c r="Z1145" s="32"/>
    </row>
    <row r="1146">
      <c r="A1146" s="32"/>
      <c r="B1146" s="32"/>
      <c r="C1146" s="32"/>
      <c r="D1146" s="32"/>
      <c r="E1146" s="32"/>
      <c r="F1146" s="32"/>
      <c r="G1146" s="32"/>
      <c r="J1146" s="92"/>
      <c r="L1146" s="32"/>
      <c r="M1146" s="32"/>
      <c r="N1146" s="32"/>
      <c r="O1146" s="32"/>
      <c r="P1146" s="32"/>
      <c r="Q1146" s="32"/>
      <c r="R1146" s="32"/>
      <c r="S1146" s="32"/>
      <c r="T1146" s="32"/>
      <c r="U1146" s="32"/>
      <c r="V1146" s="32"/>
      <c r="W1146" s="32"/>
      <c r="X1146" s="32"/>
      <c r="Y1146" s="32"/>
      <c r="Z1146" s="32"/>
    </row>
  </sheetData>
  <mergeCells count="401">
    <mergeCell ref="B139:B142"/>
    <mergeCell ref="B143:B147"/>
    <mergeCell ref="C143:C147"/>
    <mergeCell ref="D143:D147"/>
    <mergeCell ref="E143:E147"/>
    <mergeCell ref="F143:F147"/>
    <mergeCell ref="G143:G147"/>
    <mergeCell ref="H155:H156"/>
    <mergeCell ref="I155:I156"/>
    <mergeCell ref="H159:H161"/>
    <mergeCell ref="I159:I161"/>
    <mergeCell ref="C148:C154"/>
    <mergeCell ref="D148:D154"/>
    <mergeCell ref="E148:E154"/>
    <mergeCell ref="F148:F154"/>
    <mergeCell ref="G148:G154"/>
    <mergeCell ref="H148:H151"/>
    <mergeCell ref="I148:I151"/>
    <mergeCell ref="E114:E117"/>
    <mergeCell ref="F114:F117"/>
    <mergeCell ref="B109:B113"/>
    <mergeCell ref="C109:C113"/>
    <mergeCell ref="D109:D113"/>
    <mergeCell ref="E109:E113"/>
    <mergeCell ref="F109:F113"/>
    <mergeCell ref="G109:G113"/>
    <mergeCell ref="G114:G117"/>
    <mergeCell ref="B114:B117"/>
    <mergeCell ref="B118:B123"/>
    <mergeCell ref="C118:C123"/>
    <mergeCell ref="D118:D123"/>
    <mergeCell ref="E118:E123"/>
    <mergeCell ref="F118:F123"/>
    <mergeCell ref="G118:G123"/>
    <mergeCell ref="E128:E131"/>
    <mergeCell ref="F128:F131"/>
    <mergeCell ref="B125:B127"/>
    <mergeCell ref="C125:C127"/>
    <mergeCell ref="D125:D127"/>
    <mergeCell ref="E125:E127"/>
    <mergeCell ref="F125:F127"/>
    <mergeCell ref="G125:G127"/>
    <mergeCell ref="B128:B131"/>
    <mergeCell ref="G128:G131"/>
    <mergeCell ref="C128:C131"/>
    <mergeCell ref="D128:D131"/>
    <mergeCell ref="B132:B138"/>
    <mergeCell ref="C132:C138"/>
    <mergeCell ref="D132:D138"/>
    <mergeCell ref="E132:E138"/>
    <mergeCell ref="F132:F138"/>
    <mergeCell ref="B148:B154"/>
    <mergeCell ref="B155:B158"/>
    <mergeCell ref="C155:C158"/>
    <mergeCell ref="D155:D158"/>
    <mergeCell ref="E155:E158"/>
    <mergeCell ref="F155:F158"/>
    <mergeCell ref="G155:G158"/>
    <mergeCell ref="E166:E172"/>
    <mergeCell ref="F166:F172"/>
    <mergeCell ref="E173:E178"/>
    <mergeCell ref="F173:F178"/>
    <mergeCell ref="G173:G178"/>
    <mergeCell ref="G166:G172"/>
    <mergeCell ref="H166:H168"/>
    <mergeCell ref="I166:I168"/>
    <mergeCell ref="H173:H174"/>
    <mergeCell ref="I173:I174"/>
    <mergeCell ref="B159:B165"/>
    <mergeCell ref="C159:C165"/>
    <mergeCell ref="D159:D165"/>
    <mergeCell ref="E159:E165"/>
    <mergeCell ref="F159:F165"/>
    <mergeCell ref="G159:G165"/>
    <mergeCell ref="B166:B172"/>
    <mergeCell ref="D179:D186"/>
    <mergeCell ref="E179:E186"/>
    <mergeCell ref="F179:F186"/>
    <mergeCell ref="G179:G186"/>
    <mergeCell ref="H179:H181"/>
    <mergeCell ref="I179:I181"/>
    <mergeCell ref="H182:H183"/>
    <mergeCell ref="I182:I183"/>
    <mergeCell ref="B187:B192"/>
    <mergeCell ref="C187:C192"/>
    <mergeCell ref="D187:D192"/>
    <mergeCell ref="E187:E192"/>
    <mergeCell ref="F187:F192"/>
    <mergeCell ref="G187:G192"/>
    <mergeCell ref="C166:C172"/>
    <mergeCell ref="D166:D172"/>
    <mergeCell ref="B173:B178"/>
    <mergeCell ref="C173:C178"/>
    <mergeCell ref="D173:D178"/>
    <mergeCell ref="B179:B186"/>
    <mergeCell ref="C179:C186"/>
    <mergeCell ref="C200:C205"/>
    <mergeCell ref="D200:D205"/>
    <mergeCell ref="B221:B228"/>
    <mergeCell ref="C221:C228"/>
    <mergeCell ref="D221:D228"/>
    <mergeCell ref="E221:E228"/>
    <mergeCell ref="F221:F228"/>
    <mergeCell ref="G221:G228"/>
    <mergeCell ref="B229:B235"/>
    <mergeCell ref="G229:G235"/>
    <mergeCell ref="C229:C235"/>
    <mergeCell ref="D229:D235"/>
    <mergeCell ref="C236:C239"/>
    <mergeCell ref="D236:D239"/>
    <mergeCell ref="E236:E239"/>
    <mergeCell ref="F236:F239"/>
    <mergeCell ref="G236:G239"/>
    <mergeCell ref="B236:B239"/>
    <mergeCell ref="B240:B242"/>
    <mergeCell ref="C240:C242"/>
    <mergeCell ref="D240:D242"/>
    <mergeCell ref="E240:E242"/>
    <mergeCell ref="F240:F242"/>
    <mergeCell ref="G240:G242"/>
    <mergeCell ref="C243:C247"/>
    <mergeCell ref="D243:D247"/>
    <mergeCell ref="E243:E247"/>
    <mergeCell ref="F243:F247"/>
    <mergeCell ref="G243:G247"/>
    <mergeCell ref="H244:H245"/>
    <mergeCell ref="I244:I245"/>
    <mergeCell ref="E200:E205"/>
    <mergeCell ref="F200:F205"/>
    <mergeCell ref="E206:E209"/>
    <mergeCell ref="F206:F209"/>
    <mergeCell ref="G206:G209"/>
    <mergeCell ref="B193:B199"/>
    <mergeCell ref="C193:C199"/>
    <mergeCell ref="D193:D199"/>
    <mergeCell ref="E193:E199"/>
    <mergeCell ref="F193:F199"/>
    <mergeCell ref="G193:G199"/>
    <mergeCell ref="G200:G205"/>
    <mergeCell ref="E210:E215"/>
    <mergeCell ref="F210:F215"/>
    <mergeCell ref="G210:G215"/>
    <mergeCell ref="B216:B220"/>
    <mergeCell ref="C216:C220"/>
    <mergeCell ref="D216:D220"/>
    <mergeCell ref="E216:E220"/>
    <mergeCell ref="F216:F220"/>
    <mergeCell ref="G216:G220"/>
    <mergeCell ref="B200:B205"/>
    <mergeCell ref="B206:B209"/>
    <mergeCell ref="C206:C209"/>
    <mergeCell ref="D206:D209"/>
    <mergeCell ref="B210:B215"/>
    <mergeCell ref="C210:C215"/>
    <mergeCell ref="D210:D215"/>
    <mergeCell ref="E229:E235"/>
    <mergeCell ref="F229:F235"/>
    <mergeCell ref="H229:H230"/>
    <mergeCell ref="I229:I230"/>
    <mergeCell ref="B243:B247"/>
    <mergeCell ref="B248:B253"/>
    <mergeCell ref="C248:C253"/>
    <mergeCell ref="D248:D253"/>
    <mergeCell ref="E248:E253"/>
    <mergeCell ref="F248:F253"/>
    <mergeCell ref="G248:G253"/>
    <mergeCell ref="E296:E300"/>
    <mergeCell ref="F296:F300"/>
    <mergeCell ref="E301:E303"/>
    <mergeCell ref="F301:F303"/>
    <mergeCell ref="G301:G303"/>
    <mergeCell ref="B296:B300"/>
    <mergeCell ref="B301:B303"/>
    <mergeCell ref="C301:C303"/>
    <mergeCell ref="D301:D303"/>
    <mergeCell ref="B288:B295"/>
    <mergeCell ref="C288:C295"/>
    <mergeCell ref="D288:D295"/>
    <mergeCell ref="E288:E295"/>
    <mergeCell ref="F288:F295"/>
    <mergeCell ref="G288:G295"/>
    <mergeCell ref="G296:G300"/>
    <mergeCell ref="E261:E267"/>
    <mergeCell ref="F261:F267"/>
    <mergeCell ref="E268:E271"/>
    <mergeCell ref="F268:F271"/>
    <mergeCell ref="G268:G271"/>
    <mergeCell ref="B254:B260"/>
    <mergeCell ref="C254:C260"/>
    <mergeCell ref="D254:D260"/>
    <mergeCell ref="E254:E260"/>
    <mergeCell ref="F254:F260"/>
    <mergeCell ref="G254:G260"/>
    <mergeCell ref="B261:B267"/>
    <mergeCell ref="G261:G267"/>
    <mergeCell ref="D272:D279"/>
    <mergeCell ref="E272:E279"/>
    <mergeCell ref="F272:F279"/>
    <mergeCell ref="G272:G279"/>
    <mergeCell ref="H274:H275"/>
    <mergeCell ref="I274:I275"/>
    <mergeCell ref="B280:B283"/>
    <mergeCell ref="C280:C283"/>
    <mergeCell ref="D280:D283"/>
    <mergeCell ref="E280:E283"/>
    <mergeCell ref="F280:F283"/>
    <mergeCell ref="G280:G283"/>
    <mergeCell ref="B284:B287"/>
    <mergeCell ref="C284:C287"/>
    <mergeCell ref="D284:D287"/>
    <mergeCell ref="E284:E287"/>
    <mergeCell ref="F284:F287"/>
    <mergeCell ref="G284:G287"/>
    <mergeCell ref="C261:C267"/>
    <mergeCell ref="D261:D267"/>
    <mergeCell ref="B268:B271"/>
    <mergeCell ref="C268:C271"/>
    <mergeCell ref="D268:D271"/>
    <mergeCell ref="B272:B279"/>
    <mergeCell ref="C272:C279"/>
    <mergeCell ref="C296:C300"/>
    <mergeCell ref="D296:D300"/>
    <mergeCell ref="H298:H299"/>
    <mergeCell ref="I298:I299"/>
    <mergeCell ref="B2:B3"/>
    <mergeCell ref="C2:C3"/>
    <mergeCell ref="D2:D3"/>
    <mergeCell ref="E2:E3"/>
    <mergeCell ref="F2:F3"/>
    <mergeCell ref="G2:G3"/>
    <mergeCell ref="H2:K2"/>
    <mergeCell ref="C4:C8"/>
    <mergeCell ref="D4:D8"/>
    <mergeCell ref="E4:E8"/>
    <mergeCell ref="F4:F8"/>
    <mergeCell ref="G4:G8"/>
    <mergeCell ref="H4:H5"/>
    <mergeCell ref="I4:I5"/>
    <mergeCell ref="H9:H11"/>
    <mergeCell ref="I9:I11"/>
    <mergeCell ref="B4:B8"/>
    <mergeCell ref="B9:B14"/>
    <mergeCell ref="C9:C14"/>
    <mergeCell ref="D9:D14"/>
    <mergeCell ref="E9:E14"/>
    <mergeCell ref="F9:F14"/>
    <mergeCell ref="G9:G14"/>
    <mergeCell ref="G17:G22"/>
    <mergeCell ref="H17:H18"/>
    <mergeCell ref="I17:I18"/>
    <mergeCell ref="H23:H24"/>
    <mergeCell ref="I23:I24"/>
    <mergeCell ref="B15:B16"/>
    <mergeCell ref="C15:C16"/>
    <mergeCell ref="D15:D16"/>
    <mergeCell ref="E15:E16"/>
    <mergeCell ref="F15:F16"/>
    <mergeCell ref="G15:G16"/>
    <mergeCell ref="B17:B22"/>
    <mergeCell ref="G28:G32"/>
    <mergeCell ref="H28:H30"/>
    <mergeCell ref="I28:I30"/>
    <mergeCell ref="B37:B40"/>
    <mergeCell ref="C37:C40"/>
    <mergeCell ref="D37:D40"/>
    <mergeCell ref="E37:E40"/>
    <mergeCell ref="F37:F40"/>
    <mergeCell ref="G37:G40"/>
    <mergeCell ref="B41:B44"/>
    <mergeCell ref="G41:G44"/>
    <mergeCell ref="C41:C44"/>
    <mergeCell ref="D41:D44"/>
    <mergeCell ref="B45:B49"/>
    <mergeCell ref="C45:C49"/>
    <mergeCell ref="D45:D49"/>
    <mergeCell ref="E45:E49"/>
    <mergeCell ref="F45:F49"/>
    <mergeCell ref="E17:E22"/>
    <mergeCell ref="F17:F22"/>
    <mergeCell ref="E23:E27"/>
    <mergeCell ref="F23:F27"/>
    <mergeCell ref="G23:G27"/>
    <mergeCell ref="E28:E32"/>
    <mergeCell ref="F28:F32"/>
    <mergeCell ref="H34:H35"/>
    <mergeCell ref="I34:I35"/>
    <mergeCell ref="B28:B32"/>
    <mergeCell ref="B33:B35"/>
    <mergeCell ref="C33:C35"/>
    <mergeCell ref="D33:D35"/>
    <mergeCell ref="E33:E35"/>
    <mergeCell ref="F33:F35"/>
    <mergeCell ref="G33:G35"/>
    <mergeCell ref="C17:C22"/>
    <mergeCell ref="D17:D22"/>
    <mergeCell ref="B23:B27"/>
    <mergeCell ref="C23:C27"/>
    <mergeCell ref="D23:D27"/>
    <mergeCell ref="C28:C32"/>
    <mergeCell ref="D28:D32"/>
    <mergeCell ref="E41:E44"/>
    <mergeCell ref="F41:F44"/>
    <mergeCell ref="G45:G49"/>
    <mergeCell ref="H47:H48"/>
    <mergeCell ref="I47:I48"/>
    <mergeCell ref="C55:C58"/>
    <mergeCell ref="D55:D58"/>
    <mergeCell ref="E55:E58"/>
    <mergeCell ref="F55:F58"/>
    <mergeCell ref="B50:B54"/>
    <mergeCell ref="C50:C54"/>
    <mergeCell ref="D50:D54"/>
    <mergeCell ref="E50:E54"/>
    <mergeCell ref="F50:F54"/>
    <mergeCell ref="G50:G54"/>
    <mergeCell ref="G55:G58"/>
    <mergeCell ref="B55:B58"/>
    <mergeCell ref="B59:B63"/>
    <mergeCell ref="C59:C63"/>
    <mergeCell ref="D59:D63"/>
    <mergeCell ref="E59:E63"/>
    <mergeCell ref="F59:F63"/>
    <mergeCell ref="G59:G63"/>
    <mergeCell ref="E66:E69"/>
    <mergeCell ref="F66:F69"/>
    <mergeCell ref="B64:B65"/>
    <mergeCell ref="C64:C65"/>
    <mergeCell ref="D64:D65"/>
    <mergeCell ref="E64:E65"/>
    <mergeCell ref="F64:F65"/>
    <mergeCell ref="G64:G65"/>
    <mergeCell ref="B66:B69"/>
    <mergeCell ref="G66:G69"/>
    <mergeCell ref="G70:G74"/>
    <mergeCell ref="H72:H73"/>
    <mergeCell ref="I72:I73"/>
    <mergeCell ref="C66:C69"/>
    <mergeCell ref="D66:D69"/>
    <mergeCell ref="B70:B74"/>
    <mergeCell ref="C70:C74"/>
    <mergeCell ref="D70:D74"/>
    <mergeCell ref="E70:E74"/>
    <mergeCell ref="F70:F74"/>
    <mergeCell ref="C95:C98"/>
    <mergeCell ref="D95:D98"/>
    <mergeCell ref="C99:C103"/>
    <mergeCell ref="D99:D103"/>
    <mergeCell ref="E99:E103"/>
    <mergeCell ref="F99:F103"/>
    <mergeCell ref="G99:G103"/>
    <mergeCell ref="B99:B103"/>
    <mergeCell ref="B104:B108"/>
    <mergeCell ref="C104:C108"/>
    <mergeCell ref="D104:D108"/>
    <mergeCell ref="E104:E108"/>
    <mergeCell ref="F104:F108"/>
    <mergeCell ref="G104:G108"/>
    <mergeCell ref="E81:E84"/>
    <mergeCell ref="F81:F84"/>
    <mergeCell ref="B75:B80"/>
    <mergeCell ref="C75:C80"/>
    <mergeCell ref="D75:D80"/>
    <mergeCell ref="E75:E80"/>
    <mergeCell ref="F75:F80"/>
    <mergeCell ref="G75:G80"/>
    <mergeCell ref="B81:B84"/>
    <mergeCell ref="G81:G84"/>
    <mergeCell ref="G85:G90"/>
    <mergeCell ref="H85:H87"/>
    <mergeCell ref="I85:I87"/>
    <mergeCell ref="C81:C84"/>
    <mergeCell ref="D81:D84"/>
    <mergeCell ref="B85:B90"/>
    <mergeCell ref="C85:C90"/>
    <mergeCell ref="D85:D90"/>
    <mergeCell ref="E85:E90"/>
    <mergeCell ref="F85:F90"/>
    <mergeCell ref="E95:E98"/>
    <mergeCell ref="F95:F98"/>
    <mergeCell ref="B91:B94"/>
    <mergeCell ref="C91:C94"/>
    <mergeCell ref="D91:D94"/>
    <mergeCell ref="E91:E94"/>
    <mergeCell ref="F91:F94"/>
    <mergeCell ref="G91:G94"/>
    <mergeCell ref="B95:B98"/>
    <mergeCell ref="G95:G98"/>
    <mergeCell ref="C114:C117"/>
    <mergeCell ref="D114:D117"/>
    <mergeCell ref="G132:G138"/>
    <mergeCell ref="H132:H134"/>
    <mergeCell ref="I132:I134"/>
    <mergeCell ref="H143:H144"/>
    <mergeCell ref="I143:I144"/>
    <mergeCell ref="C139:C142"/>
    <mergeCell ref="D139:D142"/>
    <mergeCell ref="E139:E142"/>
    <mergeCell ref="F139:F142"/>
    <mergeCell ref="G139:G142"/>
    <mergeCell ref="H139:H140"/>
    <mergeCell ref="I139:I140"/>
  </mergeCells>
  <hyperlinks>
    <hyperlink r:id="rId1" ref="J4"/>
    <hyperlink r:id="rId2" ref="J5"/>
    <hyperlink r:id="rId3" ref="J6"/>
    <hyperlink r:id="rId4" ref="J7"/>
    <hyperlink r:id="rId5" ref="J8"/>
    <hyperlink r:id="rId6" ref="J9"/>
    <hyperlink r:id="rId7" ref="J10"/>
    <hyperlink r:id="rId8" ref="J11"/>
    <hyperlink r:id="rId9" ref="J12"/>
    <hyperlink r:id="rId10" ref="J13"/>
    <hyperlink r:id="rId11" ref="J14"/>
    <hyperlink r:id="rId12" ref="J15"/>
    <hyperlink r:id="rId13" ref="J16"/>
    <hyperlink r:id="rId14" ref="J17"/>
    <hyperlink r:id="rId15" ref="J18"/>
    <hyperlink r:id="rId16" ref="J19"/>
    <hyperlink r:id="rId17" ref="J20"/>
    <hyperlink r:id="rId18" ref="J21"/>
    <hyperlink r:id="rId19" ref="J22"/>
    <hyperlink r:id="rId20" ref="J23"/>
    <hyperlink r:id="rId21" ref="J24"/>
    <hyperlink r:id="rId22" ref="J25"/>
    <hyperlink r:id="rId23" ref="J26"/>
    <hyperlink r:id="rId24" ref="J27"/>
    <hyperlink r:id="rId25" ref="J28"/>
    <hyperlink r:id="rId26" ref="J29"/>
    <hyperlink r:id="rId27" ref="J30"/>
    <hyperlink r:id="rId28" ref="J31"/>
    <hyperlink r:id="rId29" ref="J32"/>
    <hyperlink r:id="rId30" ref="J33"/>
    <hyperlink r:id="rId31" ref="J34"/>
    <hyperlink r:id="rId32" ref="J35"/>
    <hyperlink r:id="rId33" ref="J37"/>
    <hyperlink r:id="rId34" ref="J38"/>
    <hyperlink r:id="rId35" ref="J39"/>
    <hyperlink r:id="rId36" ref="J40"/>
    <hyperlink r:id="rId37" ref="J41"/>
    <hyperlink r:id="rId38" ref="J42"/>
    <hyperlink r:id="rId39" ref="J43"/>
    <hyperlink r:id="rId40" ref="J44"/>
    <hyperlink r:id="rId41" ref="J45"/>
    <hyperlink r:id="rId42" ref="J46"/>
    <hyperlink r:id="rId43" ref="J47"/>
    <hyperlink r:id="rId44" ref="J48"/>
    <hyperlink r:id="rId45" ref="J49"/>
    <hyperlink r:id="rId46" ref="J50"/>
    <hyperlink r:id="rId47" ref="J51"/>
    <hyperlink r:id="rId48" ref="J52"/>
    <hyperlink r:id="rId49" ref="J53"/>
    <hyperlink r:id="rId50" ref="J54"/>
    <hyperlink r:id="rId51" ref="J55"/>
    <hyperlink r:id="rId52" ref="J56"/>
    <hyperlink r:id="rId53" ref="J57"/>
    <hyperlink r:id="rId54" ref="J58"/>
    <hyperlink r:id="rId55" ref="J59"/>
    <hyperlink r:id="rId56" ref="J60"/>
    <hyperlink r:id="rId57" ref="J61"/>
    <hyperlink r:id="rId58" ref="J62"/>
    <hyperlink r:id="rId59" ref="J63"/>
    <hyperlink r:id="rId60" ref="J64"/>
    <hyperlink r:id="rId61" ref="J65"/>
    <hyperlink r:id="rId62" ref="J66"/>
    <hyperlink r:id="rId63" ref="J67"/>
    <hyperlink r:id="rId64" ref="J68"/>
    <hyperlink r:id="rId65" ref="J69"/>
    <hyperlink r:id="rId66" ref="J70"/>
    <hyperlink r:id="rId67" ref="J71"/>
    <hyperlink r:id="rId68" ref="J72"/>
    <hyperlink r:id="rId69" ref="J73"/>
    <hyperlink r:id="rId70" ref="J74"/>
    <hyperlink r:id="rId71" ref="J75"/>
    <hyperlink r:id="rId72" ref="J76"/>
    <hyperlink r:id="rId73" ref="J77"/>
    <hyperlink r:id="rId74" ref="J78"/>
    <hyperlink r:id="rId75" ref="J79"/>
    <hyperlink r:id="rId76" ref="J80"/>
    <hyperlink r:id="rId77" ref="J81"/>
    <hyperlink r:id="rId78" ref="J82"/>
    <hyperlink r:id="rId79" ref="J83"/>
    <hyperlink r:id="rId80" ref="J84"/>
    <hyperlink r:id="rId81" ref="J85"/>
    <hyperlink r:id="rId82" ref="J86"/>
    <hyperlink r:id="rId83" ref="J87"/>
    <hyperlink r:id="rId84" ref="J88"/>
    <hyperlink r:id="rId85" ref="J89"/>
    <hyperlink r:id="rId86" ref="J90"/>
    <hyperlink r:id="rId87" ref="J91"/>
    <hyperlink r:id="rId88" ref="J92"/>
    <hyperlink r:id="rId89" ref="J93"/>
    <hyperlink r:id="rId90" ref="J94"/>
    <hyperlink r:id="rId91" ref="J95"/>
    <hyperlink r:id="rId92" ref="J96"/>
    <hyperlink r:id="rId93" ref="J97"/>
    <hyperlink r:id="rId94" ref="J98"/>
    <hyperlink r:id="rId95" ref="J99"/>
    <hyperlink r:id="rId96" ref="J100"/>
    <hyperlink r:id="rId97" ref="J101"/>
    <hyperlink r:id="rId98" ref="J102"/>
    <hyperlink r:id="rId99" ref="J103"/>
    <hyperlink r:id="rId100" ref="J104"/>
    <hyperlink r:id="rId101" ref="J105"/>
    <hyperlink r:id="rId102" ref="J106"/>
    <hyperlink r:id="rId103" ref="J107"/>
    <hyperlink r:id="rId104" ref="J108"/>
    <hyperlink r:id="rId105" ref="J109"/>
    <hyperlink r:id="rId106" ref="J110"/>
    <hyperlink r:id="rId107" ref="J111"/>
    <hyperlink r:id="rId108" ref="J112"/>
    <hyperlink r:id="rId109" ref="J113"/>
    <hyperlink r:id="rId110" ref="J114"/>
    <hyperlink r:id="rId111" ref="J115"/>
    <hyperlink r:id="rId112" ref="J116"/>
    <hyperlink r:id="rId113" ref="J117"/>
    <hyperlink r:id="rId114" ref="J118"/>
    <hyperlink r:id="rId115" ref="J119"/>
    <hyperlink r:id="rId116" ref="J120"/>
    <hyperlink r:id="rId117" ref="J121"/>
    <hyperlink r:id="rId118" ref="J122"/>
    <hyperlink r:id="rId119" ref="J123"/>
    <hyperlink r:id="rId120" ref="J125"/>
    <hyperlink r:id="rId121" ref="J126"/>
    <hyperlink r:id="rId122" ref="J127"/>
    <hyperlink r:id="rId123" ref="J128"/>
    <hyperlink r:id="rId124" ref="J129"/>
    <hyperlink r:id="rId125" ref="J130"/>
    <hyperlink r:id="rId126" ref="J131"/>
    <hyperlink r:id="rId127" ref="J132"/>
    <hyperlink r:id="rId128" ref="J133"/>
    <hyperlink r:id="rId129" ref="J134"/>
    <hyperlink r:id="rId130" ref="J135"/>
    <hyperlink r:id="rId131" ref="J136"/>
    <hyperlink r:id="rId132" ref="J137"/>
    <hyperlink r:id="rId133" ref="J138"/>
    <hyperlink r:id="rId134" ref="J139"/>
    <hyperlink r:id="rId135" ref="J140"/>
    <hyperlink r:id="rId136" ref="J141"/>
    <hyperlink r:id="rId137" ref="J142"/>
    <hyperlink r:id="rId138" ref="J143"/>
    <hyperlink r:id="rId139" ref="J144"/>
    <hyperlink r:id="rId140" ref="J145"/>
    <hyperlink r:id="rId141" ref="J146"/>
    <hyperlink r:id="rId142" ref="J147"/>
    <hyperlink r:id="rId143" ref="J148"/>
    <hyperlink r:id="rId144" ref="J149"/>
    <hyperlink r:id="rId145" ref="J150"/>
    <hyperlink r:id="rId146" ref="J151"/>
    <hyperlink r:id="rId147" ref="J152"/>
    <hyperlink r:id="rId148" ref="J153"/>
    <hyperlink r:id="rId149" ref="J154"/>
    <hyperlink r:id="rId150" ref="J155"/>
    <hyperlink r:id="rId151" ref="J156"/>
    <hyperlink r:id="rId152" ref="J157"/>
    <hyperlink r:id="rId153" ref="J158"/>
    <hyperlink r:id="rId154" ref="J159"/>
    <hyperlink r:id="rId155" ref="J160"/>
    <hyperlink r:id="rId156" ref="J161"/>
    <hyperlink r:id="rId157" ref="J162"/>
    <hyperlink r:id="rId158" ref="J163"/>
    <hyperlink r:id="rId159" ref="J164"/>
    <hyperlink r:id="rId160" ref="J165"/>
    <hyperlink r:id="rId161" ref="J166"/>
    <hyperlink r:id="rId162" ref="J167"/>
    <hyperlink r:id="rId163" ref="J168"/>
    <hyperlink r:id="rId164" ref="J169"/>
    <hyperlink r:id="rId165" ref="J170"/>
    <hyperlink r:id="rId166" ref="J171"/>
    <hyperlink r:id="rId167" ref="J172"/>
    <hyperlink r:id="rId168" ref="J173"/>
    <hyperlink r:id="rId169" ref="J174"/>
    <hyperlink r:id="rId170" ref="J175"/>
    <hyperlink r:id="rId171" ref="J176"/>
    <hyperlink r:id="rId172" ref="J177"/>
    <hyperlink r:id="rId173" ref="J178"/>
    <hyperlink r:id="rId174" ref="J179"/>
    <hyperlink r:id="rId175" ref="J180"/>
    <hyperlink r:id="rId176" ref="J181"/>
    <hyperlink r:id="rId177" ref="J182"/>
    <hyperlink r:id="rId178" ref="J183"/>
    <hyperlink r:id="rId179" ref="J184"/>
    <hyperlink r:id="rId180" ref="J185"/>
    <hyperlink r:id="rId181" ref="J186"/>
    <hyperlink r:id="rId182" ref="J187"/>
    <hyperlink r:id="rId183" ref="J188"/>
    <hyperlink r:id="rId184" ref="J189"/>
    <hyperlink r:id="rId185" ref="J190"/>
    <hyperlink r:id="rId186" ref="J191"/>
    <hyperlink r:id="rId187" ref="J192"/>
    <hyperlink r:id="rId188" ref="J193"/>
    <hyperlink r:id="rId189" ref="J194"/>
    <hyperlink r:id="rId190" ref="J195"/>
    <hyperlink r:id="rId191" ref="J196"/>
    <hyperlink r:id="rId192" ref="J197"/>
    <hyperlink r:id="rId193" ref="J198"/>
    <hyperlink r:id="rId194" ref="J199"/>
    <hyperlink r:id="rId195" ref="J200"/>
    <hyperlink r:id="rId196" ref="J201"/>
    <hyperlink r:id="rId197" ref="J202"/>
    <hyperlink r:id="rId198" ref="J203"/>
    <hyperlink r:id="rId199" ref="J204"/>
    <hyperlink r:id="rId200" ref="J205"/>
    <hyperlink r:id="rId201" ref="J206"/>
    <hyperlink r:id="rId202" ref="J207"/>
    <hyperlink r:id="rId203" ref="J208"/>
    <hyperlink r:id="rId204" ref="J209"/>
    <hyperlink r:id="rId205" ref="J210"/>
    <hyperlink r:id="rId206" ref="J211"/>
    <hyperlink r:id="rId207" ref="J212"/>
    <hyperlink r:id="rId208" ref="J213"/>
    <hyperlink r:id="rId209" ref="J214"/>
    <hyperlink r:id="rId210" ref="J215"/>
    <hyperlink r:id="rId211" ref="J216"/>
    <hyperlink r:id="rId212" ref="J217"/>
    <hyperlink r:id="rId213" ref="J218"/>
    <hyperlink r:id="rId214" ref="J219"/>
    <hyperlink r:id="rId215" ref="J220"/>
    <hyperlink r:id="rId216" ref="J221"/>
    <hyperlink r:id="rId217" ref="J222"/>
    <hyperlink r:id="rId218" ref="J223"/>
    <hyperlink r:id="rId219" ref="J224"/>
    <hyperlink r:id="rId220" ref="J225"/>
    <hyperlink r:id="rId221" ref="J226"/>
    <hyperlink r:id="rId222" ref="J227"/>
    <hyperlink r:id="rId223" ref="J228"/>
    <hyperlink r:id="rId224" ref="J229"/>
    <hyperlink r:id="rId225" ref="J230"/>
    <hyperlink r:id="rId226" ref="J231"/>
    <hyperlink r:id="rId227" ref="J232"/>
    <hyperlink r:id="rId228" ref="J233"/>
    <hyperlink r:id="rId229" ref="J234"/>
    <hyperlink r:id="rId230" ref="J235"/>
    <hyperlink r:id="rId231" ref="J236"/>
    <hyperlink r:id="rId232" ref="J237"/>
    <hyperlink r:id="rId233" ref="J238"/>
    <hyperlink r:id="rId234" ref="J239"/>
    <hyperlink r:id="rId235" ref="J240"/>
    <hyperlink r:id="rId236" ref="J241"/>
    <hyperlink r:id="rId237" ref="J242"/>
    <hyperlink r:id="rId238" ref="J243"/>
    <hyperlink r:id="rId239" ref="J244"/>
    <hyperlink r:id="rId240" ref="J245"/>
    <hyperlink r:id="rId241" ref="J246"/>
    <hyperlink r:id="rId242" ref="J247"/>
    <hyperlink r:id="rId243" ref="J248"/>
    <hyperlink r:id="rId244" ref="J249"/>
    <hyperlink r:id="rId245" ref="J250"/>
    <hyperlink r:id="rId246" ref="J251"/>
    <hyperlink r:id="rId247" ref="J252"/>
    <hyperlink r:id="rId248" ref="J253"/>
    <hyperlink r:id="rId249" ref="J254"/>
    <hyperlink r:id="rId250" ref="J255"/>
    <hyperlink r:id="rId251" ref="J256"/>
    <hyperlink r:id="rId252" ref="J257"/>
    <hyperlink r:id="rId253" ref="J258"/>
    <hyperlink r:id="rId254" ref="J259"/>
    <hyperlink r:id="rId255" ref="J260"/>
    <hyperlink r:id="rId256" ref="J261"/>
    <hyperlink r:id="rId257" ref="J262"/>
    <hyperlink r:id="rId258" ref="J263"/>
    <hyperlink r:id="rId259" ref="J264"/>
    <hyperlink r:id="rId260" ref="J265"/>
    <hyperlink r:id="rId261" ref="J266"/>
    <hyperlink r:id="rId262" ref="J267"/>
    <hyperlink r:id="rId263" ref="J268"/>
    <hyperlink r:id="rId264" ref="J269"/>
    <hyperlink r:id="rId265" ref="J270"/>
    <hyperlink r:id="rId266" ref="J271"/>
    <hyperlink r:id="rId267" ref="J272"/>
    <hyperlink r:id="rId268" ref="J273"/>
    <hyperlink r:id="rId269" ref="J274"/>
    <hyperlink r:id="rId270" ref="J275"/>
    <hyperlink r:id="rId271" ref="J276"/>
    <hyperlink r:id="rId272" ref="J277"/>
    <hyperlink r:id="rId273" ref="J278"/>
    <hyperlink r:id="rId274" ref="J279"/>
    <hyperlink r:id="rId275" ref="J280"/>
    <hyperlink r:id="rId276" ref="J281"/>
    <hyperlink r:id="rId277" ref="J282"/>
    <hyperlink r:id="rId278" ref="J283"/>
    <hyperlink r:id="rId279" ref="J284"/>
    <hyperlink r:id="rId280" ref="J285"/>
    <hyperlink r:id="rId281" ref="J286"/>
    <hyperlink r:id="rId282" ref="J287"/>
    <hyperlink r:id="rId283" ref="J288"/>
    <hyperlink r:id="rId284" ref="J289"/>
    <hyperlink r:id="rId285" ref="J290"/>
    <hyperlink r:id="rId286" ref="J291"/>
    <hyperlink r:id="rId287" ref="J292"/>
    <hyperlink r:id="rId288" ref="J293"/>
    <hyperlink r:id="rId289" ref="J294"/>
    <hyperlink r:id="rId290" ref="J295"/>
    <hyperlink r:id="rId291" ref="J296"/>
    <hyperlink r:id="rId292" ref="J297"/>
    <hyperlink r:id="rId293" ref="J298"/>
    <hyperlink r:id="rId294" ref="J299"/>
    <hyperlink r:id="rId295" ref="J300"/>
    <hyperlink r:id="rId296" ref="J301"/>
    <hyperlink r:id="rId297" ref="J302"/>
    <hyperlink r:id="rId298" ref="J303"/>
  </hyperlinks>
  <drawing r:id="rId29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sheetData>
    <row r="2">
      <c r="B2" s="93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</row>
    <row r="3">
      <c r="B3" s="96"/>
      <c r="C3" s="97" t="s">
        <v>301</v>
      </c>
      <c r="Z3" s="98"/>
    </row>
    <row r="4">
      <c r="B4" s="96"/>
      <c r="Z4" s="98"/>
    </row>
    <row r="5">
      <c r="B5" s="96"/>
      <c r="Z5" s="98"/>
    </row>
    <row r="6">
      <c r="B6" s="96"/>
      <c r="Z6" s="98"/>
    </row>
    <row r="7">
      <c r="B7" s="96"/>
      <c r="Z7" s="98"/>
    </row>
    <row r="8">
      <c r="B8" s="96"/>
      <c r="Z8" s="98"/>
    </row>
    <row r="9">
      <c r="B9" s="96"/>
      <c r="Z9" s="98"/>
    </row>
    <row r="10">
      <c r="B10" s="96"/>
      <c r="Z10" s="98"/>
    </row>
    <row r="11">
      <c r="B11" s="96"/>
      <c r="Z11" s="98"/>
    </row>
    <row r="12">
      <c r="B12" s="96"/>
      <c r="Z12" s="98"/>
    </row>
    <row r="13">
      <c r="B13" s="96"/>
      <c r="Z13" s="98"/>
    </row>
    <row r="14">
      <c r="B14" s="96"/>
      <c r="Z14" s="98"/>
    </row>
    <row r="15">
      <c r="B15" s="96"/>
      <c r="Z15" s="98"/>
    </row>
    <row r="16">
      <c r="B16" s="96"/>
      <c r="Z16" s="98"/>
    </row>
    <row r="17">
      <c r="B17" s="96"/>
      <c r="Z17" s="98"/>
    </row>
    <row r="18">
      <c r="B18" s="96"/>
      <c r="Z18" s="98"/>
    </row>
    <row r="19">
      <c r="B19" s="96"/>
      <c r="Z19" s="98"/>
    </row>
    <row r="20">
      <c r="B20" s="96"/>
      <c r="Z20" s="98"/>
    </row>
    <row r="21">
      <c r="B21" s="96"/>
      <c r="Z21" s="98"/>
    </row>
    <row r="22">
      <c r="B22" s="96"/>
      <c r="Z22" s="98"/>
    </row>
    <row r="23">
      <c r="B23" s="96"/>
      <c r="Z23" s="98"/>
    </row>
    <row r="24">
      <c r="B24" s="96"/>
      <c r="Z24" s="98"/>
    </row>
    <row r="25">
      <c r="B25" s="96"/>
      <c r="Z25" s="98"/>
    </row>
    <row r="26">
      <c r="B26" s="96"/>
      <c r="Z26" s="98"/>
    </row>
    <row r="27">
      <c r="B27" s="96"/>
      <c r="Z27" s="98"/>
    </row>
    <row r="28">
      <c r="B28" s="96"/>
      <c r="Z28" s="98"/>
    </row>
    <row r="29">
      <c r="B29" s="96"/>
      <c r="Z29" s="98"/>
    </row>
    <row r="30">
      <c r="B30" s="96"/>
      <c r="Z30" s="98"/>
    </row>
    <row r="31">
      <c r="B31" s="96"/>
      <c r="Z31" s="98"/>
    </row>
    <row r="32">
      <c r="B32" s="96"/>
      <c r="Z32" s="98"/>
    </row>
    <row r="33">
      <c r="B33" s="96"/>
      <c r="Z33" s="98"/>
    </row>
    <row r="34">
      <c r="B34" s="96"/>
      <c r="Z34" s="98"/>
    </row>
    <row r="35">
      <c r="B35" s="96"/>
      <c r="Z35" s="98"/>
    </row>
    <row r="36">
      <c r="B36" s="96"/>
      <c r="Z36" s="98"/>
    </row>
    <row r="37">
      <c r="B37" s="96"/>
      <c r="Z37" s="98"/>
    </row>
    <row r="38">
      <c r="B38" s="96"/>
      <c r="Z38" s="98"/>
    </row>
    <row r="39">
      <c r="B39" s="96"/>
      <c r="Z39" s="98"/>
    </row>
    <row r="40">
      <c r="B40" s="96"/>
      <c r="Z40" s="98"/>
    </row>
    <row r="41">
      <c r="B41" s="96"/>
      <c r="Z41" s="98"/>
    </row>
    <row r="42">
      <c r="B42" s="96"/>
      <c r="Z42" s="98"/>
    </row>
    <row r="43">
      <c r="B43" s="96"/>
      <c r="Z43" s="98"/>
    </row>
    <row r="44">
      <c r="B44" s="96"/>
      <c r="Z44" s="98"/>
    </row>
    <row r="45">
      <c r="B45" s="96"/>
      <c r="Z45" s="98"/>
    </row>
    <row r="46">
      <c r="B46" s="96"/>
      <c r="Z46" s="98"/>
    </row>
    <row r="47">
      <c r="B47" s="96"/>
      <c r="Z47" s="98"/>
    </row>
    <row r="48">
      <c r="B48" s="96"/>
      <c r="Z48" s="98"/>
    </row>
    <row r="49">
      <c r="B49" s="96"/>
      <c r="Z49" s="98"/>
    </row>
    <row r="50">
      <c r="B50" s="96"/>
      <c r="Z50" s="98"/>
    </row>
    <row r="51">
      <c r="B51" s="96"/>
      <c r="Z51" s="98"/>
    </row>
    <row r="52">
      <c r="B52" s="96"/>
      <c r="Z52" s="98"/>
    </row>
    <row r="53">
      <c r="B53" s="96"/>
      <c r="Z53" s="98"/>
    </row>
    <row r="54">
      <c r="B54" s="96"/>
      <c r="Z54" s="98"/>
    </row>
    <row r="55">
      <c r="B55" s="96"/>
      <c r="Z55" s="98"/>
    </row>
    <row r="56">
      <c r="B56" s="96"/>
      <c r="Z56" s="98"/>
    </row>
    <row r="57">
      <c r="B57" s="96"/>
      <c r="Z57" s="98"/>
    </row>
    <row r="58">
      <c r="B58" s="96"/>
      <c r="Z58" s="98"/>
    </row>
    <row r="59">
      <c r="B59" s="96"/>
      <c r="Z59" s="98"/>
    </row>
    <row r="60">
      <c r="B60" s="96"/>
      <c r="Z60" s="98"/>
    </row>
    <row r="61">
      <c r="B61" s="96"/>
      <c r="Z61" s="98"/>
    </row>
    <row r="62">
      <c r="B62" s="96"/>
      <c r="Z62" s="98"/>
    </row>
    <row r="63">
      <c r="B63" s="96"/>
      <c r="Z63" s="98"/>
    </row>
    <row r="64">
      <c r="B64" s="96"/>
      <c r="Z64" s="98"/>
    </row>
    <row r="65">
      <c r="B65" s="96"/>
      <c r="Z65" s="98"/>
    </row>
    <row r="66">
      <c r="B66" s="96"/>
      <c r="Z66" s="98"/>
    </row>
    <row r="67">
      <c r="B67" s="96"/>
      <c r="Z67" s="98"/>
    </row>
    <row r="68">
      <c r="B68" s="96"/>
      <c r="Z68" s="98"/>
    </row>
    <row r="69">
      <c r="B69" s="96"/>
      <c r="Z69" s="98"/>
    </row>
    <row r="70">
      <c r="B70" s="96"/>
      <c r="Z70" s="98"/>
    </row>
    <row r="71">
      <c r="B71" s="96"/>
      <c r="Z71" s="98"/>
    </row>
    <row r="72">
      <c r="B72" s="96"/>
      <c r="Z72" s="98"/>
    </row>
    <row r="73">
      <c r="B73" s="96"/>
      <c r="Z73" s="98"/>
    </row>
    <row r="74">
      <c r="B74" s="96"/>
      <c r="Z74" s="98"/>
    </row>
    <row r="75">
      <c r="B75" s="96"/>
      <c r="Z75" s="98"/>
    </row>
    <row r="76">
      <c r="B76" s="96"/>
      <c r="Z76" s="98"/>
    </row>
    <row r="77">
      <c r="B77" s="96"/>
      <c r="Z77" s="98"/>
    </row>
    <row r="78">
      <c r="B78" s="96"/>
      <c r="Z78" s="98"/>
    </row>
    <row r="79">
      <c r="B79" s="96"/>
      <c r="Z79" s="98"/>
    </row>
    <row r="80">
      <c r="B80" s="99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1"/>
    </row>
    <row r="82">
      <c r="B82" s="93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5"/>
    </row>
    <row r="83">
      <c r="B83" s="96"/>
      <c r="C83" s="97" t="s">
        <v>302</v>
      </c>
      <c r="Z83" s="98"/>
    </row>
    <row r="84">
      <c r="B84" s="96"/>
      <c r="Z84" s="98"/>
    </row>
    <row r="85">
      <c r="B85" s="96"/>
      <c r="Z85" s="98"/>
    </row>
    <row r="86">
      <c r="B86" s="96"/>
      <c r="Z86" s="98"/>
    </row>
    <row r="87">
      <c r="B87" s="96"/>
      <c r="Z87" s="98"/>
    </row>
    <row r="88">
      <c r="B88" s="96"/>
      <c r="Z88" s="98"/>
    </row>
    <row r="89">
      <c r="B89" s="96"/>
      <c r="Z89" s="98"/>
    </row>
    <row r="90">
      <c r="B90" s="96"/>
      <c r="Z90" s="98"/>
    </row>
    <row r="91">
      <c r="B91" s="96"/>
      <c r="Z91" s="98"/>
    </row>
    <row r="92">
      <c r="B92" s="96"/>
      <c r="Z92" s="98"/>
    </row>
    <row r="93">
      <c r="B93" s="96"/>
      <c r="Z93" s="98"/>
    </row>
    <row r="94">
      <c r="B94" s="96"/>
      <c r="Z94" s="98"/>
    </row>
    <row r="95">
      <c r="B95" s="96"/>
      <c r="Z95" s="98"/>
    </row>
    <row r="96">
      <c r="B96" s="96"/>
      <c r="Z96" s="98"/>
    </row>
    <row r="97">
      <c r="B97" s="96"/>
      <c r="Z97" s="98"/>
    </row>
    <row r="98">
      <c r="B98" s="96"/>
      <c r="Z98" s="98"/>
    </row>
    <row r="99">
      <c r="B99" s="96"/>
      <c r="Z99" s="98"/>
    </row>
    <row r="100">
      <c r="B100" s="96"/>
      <c r="Z100" s="98"/>
    </row>
    <row r="101">
      <c r="B101" s="96"/>
      <c r="Z101" s="98"/>
    </row>
    <row r="102">
      <c r="B102" s="96"/>
      <c r="Z102" s="98"/>
    </row>
    <row r="103">
      <c r="B103" s="96"/>
      <c r="Z103" s="98"/>
    </row>
    <row r="104">
      <c r="B104" s="96"/>
      <c r="Z104" s="98"/>
    </row>
    <row r="105">
      <c r="B105" s="96"/>
      <c r="Z105" s="98"/>
    </row>
    <row r="106">
      <c r="B106" s="96"/>
      <c r="Z106" s="98"/>
    </row>
    <row r="107">
      <c r="B107" s="96"/>
      <c r="Z107" s="98"/>
    </row>
    <row r="108">
      <c r="B108" s="96"/>
      <c r="Z108" s="98"/>
    </row>
    <row r="109">
      <c r="B109" s="96"/>
      <c r="Z109" s="98"/>
    </row>
    <row r="110">
      <c r="B110" s="96"/>
      <c r="Z110" s="98"/>
    </row>
    <row r="111">
      <c r="B111" s="96"/>
      <c r="Z111" s="98"/>
    </row>
    <row r="112">
      <c r="B112" s="96"/>
      <c r="Z112" s="98"/>
    </row>
    <row r="113">
      <c r="B113" s="96"/>
      <c r="Z113" s="98"/>
    </row>
    <row r="114">
      <c r="B114" s="96"/>
      <c r="Z114" s="98"/>
    </row>
    <row r="115">
      <c r="B115" s="96"/>
      <c r="Z115" s="98"/>
    </row>
    <row r="116">
      <c r="B116" s="96"/>
      <c r="Z116" s="98"/>
    </row>
    <row r="117">
      <c r="B117" s="96"/>
      <c r="Z117" s="98"/>
    </row>
    <row r="118">
      <c r="B118" s="96"/>
      <c r="Z118" s="98"/>
    </row>
    <row r="119">
      <c r="B119" s="96"/>
      <c r="Z119" s="98"/>
    </row>
    <row r="120">
      <c r="B120" s="96"/>
      <c r="Z120" s="98"/>
    </row>
    <row r="121">
      <c r="B121" s="96"/>
      <c r="Z121" s="98"/>
    </row>
    <row r="122">
      <c r="B122" s="96"/>
      <c r="Z122" s="98"/>
    </row>
    <row r="123">
      <c r="B123" s="96"/>
      <c r="Z123" s="98"/>
    </row>
    <row r="124">
      <c r="B124" s="96"/>
      <c r="Z124" s="98"/>
    </row>
    <row r="125">
      <c r="B125" s="96"/>
      <c r="Z125" s="98"/>
    </row>
    <row r="126">
      <c r="B126" s="96"/>
      <c r="Z126" s="98"/>
    </row>
    <row r="127">
      <c r="B127" s="96"/>
      <c r="Z127" s="98"/>
    </row>
    <row r="128">
      <c r="B128" s="96"/>
      <c r="Z128" s="98"/>
    </row>
    <row r="129">
      <c r="B129" s="96"/>
      <c r="Z129" s="98"/>
    </row>
    <row r="130">
      <c r="B130" s="96"/>
      <c r="Z130" s="98"/>
    </row>
    <row r="131">
      <c r="B131" s="96"/>
      <c r="Z131" s="98"/>
    </row>
    <row r="132">
      <c r="B132" s="96"/>
      <c r="Z132" s="98"/>
    </row>
    <row r="133">
      <c r="B133" s="96"/>
      <c r="Z133" s="98"/>
    </row>
    <row r="134">
      <c r="B134" s="96"/>
      <c r="Z134" s="98"/>
    </row>
    <row r="135">
      <c r="B135" s="96"/>
      <c r="Z135" s="98"/>
    </row>
    <row r="136">
      <c r="B136" s="96"/>
      <c r="Z136" s="98"/>
    </row>
    <row r="137">
      <c r="B137" s="96"/>
      <c r="Z137" s="98"/>
    </row>
    <row r="138">
      <c r="B138" s="96"/>
      <c r="Z138" s="98"/>
    </row>
    <row r="139">
      <c r="B139" s="96"/>
      <c r="Z139" s="98"/>
    </row>
    <row r="140">
      <c r="B140" s="96"/>
      <c r="Z140" s="98"/>
    </row>
    <row r="141">
      <c r="B141" s="96"/>
      <c r="Z141" s="98"/>
    </row>
    <row r="142">
      <c r="B142" s="96"/>
      <c r="Z142" s="98"/>
    </row>
    <row r="143">
      <c r="B143" s="96"/>
      <c r="Z143" s="98"/>
    </row>
    <row r="144">
      <c r="B144" s="96"/>
      <c r="Z144" s="98"/>
    </row>
    <row r="145">
      <c r="B145" s="96"/>
      <c r="Z145" s="98"/>
    </row>
    <row r="146">
      <c r="B146" s="96"/>
      <c r="Z146" s="98"/>
    </row>
    <row r="147">
      <c r="B147" s="96"/>
      <c r="Z147" s="98"/>
    </row>
    <row r="148">
      <c r="B148" s="96"/>
      <c r="Z148" s="98"/>
    </row>
    <row r="149">
      <c r="B149" s="96"/>
      <c r="Z149" s="98"/>
    </row>
    <row r="150">
      <c r="B150" s="96"/>
      <c r="Z150" s="98"/>
    </row>
    <row r="151">
      <c r="B151" s="96"/>
      <c r="Z151" s="98"/>
    </row>
    <row r="152">
      <c r="B152" s="96"/>
      <c r="Z152" s="98"/>
    </row>
    <row r="153">
      <c r="B153" s="96"/>
      <c r="Z153" s="98"/>
    </row>
    <row r="154">
      <c r="B154" s="96"/>
      <c r="Z154" s="98"/>
    </row>
    <row r="155">
      <c r="B155" s="96"/>
      <c r="Z155" s="98"/>
    </row>
    <row r="156">
      <c r="B156" s="96"/>
      <c r="Z156" s="98"/>
    </row>
    <row r="157">
      <c r="B157" s="96"/>
      <c r="Z157" s="98"/>
    </row>
    <row r="158">
      <c r="B158" s="96"/>
      <c r="Z158" s="98"/>
    </row>
    <row r="159">
      <c r="B159" s="96"/>
      <c r="Z159" s="98"/>
    </row>
    <row r="160">
      <c r="B160" s="99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1"/>
    </row>
  </sheetData>
  <mergeCells count="2">
    <mergeCell ref="C3:F4"/>
    <mergeCell ref="C83:F8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