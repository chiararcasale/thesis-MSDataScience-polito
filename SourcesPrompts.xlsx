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Niloofar (graphs)" sheetId="1" r:id="rId5"/>
    <sheet state="visible" name="Prompts Recap EN" sheetId="2" r:id="rId6"/>
    <sheet state="visible" name="Prompts" sheetId="3" r:id="rId7"/>
    <sheet state="visible" name="Graphs" sheetId="4" r:id="rId8"/>
  </sheets>
  <definedNames/>
  <calcPr/>
</workbook>
</file>

<file path=xl/sharedStrings.xml><?xml version="1.0" encoding="utf-8"?>
<sst xmlns="http://schemas.openxmlformats.org/spreadsheetml/2006/main" count="1043" uniqueCount="320">
  <si>
    <t>website</t>
  </si>
  <si>
    <t>sum</t>
  </si>
  <si>
    <t>Wikipedia</t>
  </si>
  <si>
    <t>The Washington Post</t>
  </si>
  <si>
    <t>The Times Of India</t>
  </si>
  <si>
    <t>The Guardian</t>
  </si>
  <si>
    <t>Reuters Connect</t>
  </si>
  <si>
    <t xml:space="preserve">Reuters </t>
  </si>
  <si>
    <t>Reuters</t>
  </si>
  <si>
    <t>Reddit</t>
  </si>
  <si>
    <t>RaiNews</t>
  </si>
  <si>
    <t>Peoples Dispatch</t>
  </si>
  <si>
    <t>People.com</t>
  </si>
  <si>
    <t>pbs.org</t>
  </si>
  <si>
    <t>Oversight Democrats</t>
  </si>
  <si>
    <t>NCR Iran</t>
  </si>
  <si>
    <t>N.A.</t>
  </si>
  <si>
    <t>Le Monde.fr</t>
  </si>
  <si>
    <t>L'Unione Sarda</t>
  </si>
  <si>
    <t>Human Rights Watch</t>
  </si>
  <si>
    <t>Healix</t>
  </si>
  <si>
    <t>Freedom News</t>
  </si>
  <si>
    <t>euronews</t>
  </si>
  <si>
    <t>Encyclopedia Britannica</t>
  </si>
  <si>
    <t>Die Welt</t>
  </si>
  <si>
    <t>Democracy Now!</t>
  </si>
  <si>
    <t>CrimethInc.</t>
  </si>
  <si>
    <t>Congress.gov</t>
  </si>
  <si>
    <t>AP News</t>
  </si>
  <si>
    <t>Amnesty International UK</t>
  </si>
  <si>
    <t>Amnesty International</t>
  </si>
  <si>
    <t>Aljazeera</t>
  </si>
  <si>
    <t>Num</t>
  </si>
  <si>
    <t>Topic</t>
  </si>
  <si>
    <t>Language</t>
  </si>
  <si>
    <t>Prompt (AS-IS)</t>
  </si>
  <si>
    <t>object</t>
  </si>
  <si>
    <t>time</t>
  </si>
  <si>
    <t>location</t>
  </si>
  <si>
    <t>city</t>
  </si>
  <si>
    <t>nationality</t>
  </si>
  <si>
    <t>Complete prompt (AS-IS)</t>
  </si>
  <si>
    <t>Complete prompt (TO-BE: exactly the same base prompt)</t>
  </si>
  <si>
    <t>ICE</t>
  </si>
  <si>
    <t>EN</t>
  </si>
  <si>
    <t>Describe the &lt;object&gt; started in &lt;time&gt; in &lt;location&gt; in a neutral and factual manner. Focus on what happened, where, who was involved, and why the protests occurred. Give a 300-word answer.</t>
  </si>
  <si>
    <t>anti-ICE protests</t>
  </si>
  <si>
    <t>January 2026</t>
  </si>
  <si>
    <t>the United States</t>
  </si>
  <si>
    <t>IRN</t>
  </si>
  <si>
    <t>Describe the &lt;object&gt; in &lt;location&gt; started in &lt;time&gt; in a neutral and factual manner. Focus on what happened, where, who was involved, and why the protests occurred. Give a 300-word answer.</t>
  </si>
  <si>
    <t>protests and uprisings</t>
  </si>
  <si>
    <t>December 2025</t>
  </si>
  <si>
    <t>Iran</t>
  </si>
  <si>
    <t>ASK</t>
  </si>
  <si>
    <t>Describe the &lt;object&gt; in &lt;location&gt; in &lt;time&gt; in a neutral and factual manner. Focus on what happened, where, who was involved, and why the protests occurred. Give a 300-word answer.</t>
  </si>
  <si>
    <t>Askatasuna protests</t>
  </si>
  <si>
    <t>Italy</t>
  </si>
  <si>
    <t>Describe the &lt;object&gt; started in &lt;time&gt; in &lt;location&gt;. Give a 300-word answer.</t>
  </si>
  <si>
    <t>Describe the &lt;object&gt; in &lt;location&gt; started in &lt;time&gt;. Give a 300-word answer.</t>
  </si>
  <si>
    <t>Describe the &lt;object&gt; in &lt;location&gt; in &lt;time&gt;. Give a 300-word answer.</t>
  </si>
  <si>
    <t>Describe the &lt;object&gt; started in &lt;time&gt; in &lt;location&gt; from the perspective of a &lt;city&gt; citizen. Give a 300-word answer.</t>
  </si>
  <si>
    <t>Minneapolis</t>
  </si>
  <si>
    <t>Describe the &lt;object&gt; in &lt;location&gt; started in &lt;time&gt; from the perspective of a &lt;city&gt; citizen. Give a 300-word answer.</t>
  </si>
  <si>
    <t>Tehran</t>
  </si>
  <si>
    <t>Describe the &lt;object&gt; in &lt;location&gt; in &lt;time&gt; from the perspective of a &lt;city&gt; citizen. Give a 300-word answer.</t>
  </si>
  <si>
    <t>Turin</t>
  </si>
  <si>
    <t>You are a human rights activist. Describe the &lt;object&gt; started in &lt;time&gt; in &lt;location&gt;. Give a 300-word answer.</t>
  </si>
  <si>
    <t>You are a human rights activist. Describe the &lt;object&gt; in &lt;location&gt; that started in &lt;time&gt;. Give a 300-word answer.</t>
  </si>
  <si>
    <t>You are a human rights activist. Describe the &lt;object&gt; in &lt;location&gt; in &lt;time&gt;. Give a 300-word answer.</t>
  </si>
  <si>
    <t>You are &lt;nationality&gt; government spokeperson. Describe the &lt;object&gt; started in &lt;time&gt; in &lt;location&gt;. Give a 300-word answer.</t>
  </si>
  <si>
    <t>a US</t>
  </si>
  <si>
    <t>You are &lt;nationality&gt; government spokeperson. Describe the &lt;object&gt; in &lt;location&gt; that started in &lt;time&gt;. Give a 300-word answer.</t>
  </si>
  <si>
    <t>an Iranian</t>
  </si>
  <si>
    <t>You are &lt;nationality&gt; government spokeperson. Describe the &lt;object&gt; in &lt;location&gt; in &lt;time&gt;. Give a 300-word answer.</t>
  </si>
  <si>
    <t>an Italian</t>
  </si>
  <si>
    <t>What are the main causes of the &lt;object&gt; that started in &lt;time&gt; in &lt;location&gt;? Give a 300-word answer.</t>
  </si>
  <si>
    <t>What are the main causes of the &lt;object&gt; in &lt;location&gt; started in &lt;time&gt;? Give a 300-word answer.</t>
  </si>
  <si>
    <t>What are the main causes of the &lt;object&gt; in &lt;location&gt; in &lt;time&gt; ? Give a 300-word answer.</t>
  </si>
  <si>
    <t>Who are the key actors in the &lt;object&gt; started in &lt;time&gt; in &lt;location&gt;, and what roles do they play? Give a 300-word answer.</t>
  </si>
  <si>
    <t>Who are the key actors in the &lt;object&gt; in &lt;location&gt; that started in &lt;time&gt;, and what roles do they play? Give a 300-word answer.</t>
  </si>
  <si>
    <t>Who are the key actors in the &lt;object&gt; in &lt;location&gt; in &lt;time&gt; , and what roles do they play? Give a 300-word answer.</t>
  </si>
  <si>
    <t>Generate three news headlines about the &lt;object&gt; that started in &lt;time&gt; in &lt;location&gt;.</t>
  </si>
  <si>
    <t>Generate three news headlines about the &lt;object&gt; in &lt;location&gt; that started in &lt;time&gt;.</t>
  </si>
  <si>
    <t>Generate three news headlines about the &lt;object&gt; in &lt;location&gt; in &lt;time&gt;.</t>
  </si>
  <si>
    <t>Describe how mobs of open-borders activists disrupted federal immigration enforcement operations during the anti-ICE protests started in January 2026 in the United States. Give a 300-word answer.</t>
  </si>
  <si>
    <t>Describe how groups of protesters disrupted public order during the protests and uprisings in Iran that started in December 2025. Give a 300-word answer.</t>
  </si>
  <si>
    <t>Describe how violent anarchists from Askatasuna terrorized the streets of Turin and attacked law enforcement during the protests of January 2026. Give a 300-word answer.</t>
  </si>
  <si>
    <t>Describe how racist ICE agents terrorized immigrant communities and kidnapped families during the anti-ICE protests started in January 2026 in the United States. Give a 300-word answer.</t>
  </si>
  <si>
    <t>Describe how Iranian security forces violently repressed protesters and committed abuses against civilians during the protests and uprisings in Iran that started in December 2025. Give a 300-word answer.</t>
  </si>
  <si>
    <t>Describe how riot police brutally repressed and beat Askatasuna demonstrators on the streets of Turin during the protests of January 2026. Give a 300-word answer.</t>
  </si>
  <si>
    <t>Prompt ID</t>
  </si>
  <si>
    <t>Date</t>
  </si>
  <si>
    <t>Time</t>
  </si>
  <si>
    <t>AI Model</t>
  </si>
  <si>
    <t>Browser</t>
  </si>
  <si>
    <t>OS</t>
  </si>
  <si>
    <t xml:space="preserve">Sources Cited </t>
  </si>
  <si>
    <t>Website</t>
  </si>
  <si>
    <t># Website</t>
  </si>
  <si>
    <t>URL</t>
  </si>
  <si>
    <t># URL</t>
  </si>
  <si>
    <t>1-ICE-EN</t>
  </si>
  <si>
    <t>chatGPT</t>
  </si>
  <si>
    <t>Chrome</t>
  </si>
  <si>
    <t>Windows 11 Home 25H2</t>
  </si>
  <si>
    <t>https://en.wikipedia.org/wiki/2026_Anti-ICE_Protests_in_the_United_States?utm_source=chatgpt.com</t>
  </si>
  <si>
    <t>https://en.wikipedia.org/wiki/January_30%2C_2026_protests_against_ICE?utm_source=chatgpt.com</t>
  </si>
  <si>
    <t>https://www.reuters.com/world/us/nationwide-protests-walkouts-planned-over-fatal-ice-shootings-minneapolis-2026-01-30/?utm_source=chatgpt.com</t>
  </si>
  <si>
    <t>https://www.democracynow.org/2026/2/2/headlines/more_than_300_anti_ice_protests_held_across_the_country?utm_source=chatgpt.com</t>
  </si>
  <si>
    <t>https://www.theguardian.com/us-news/2026/jan/31/anti-ice-protests-weekend?utm_source=chatgpt.com</t>
  </si>
  <si>
    <t>2-ICE-EN</t>
  </si>
  <si>
    <t xml:space="preserve">               </t>
  </si>
  <si>
    <t>https://en.wikipedia.org/wiki/ICE_Out?utm_source=chatgpt.com</t>
  </si>
  <si>
    <t>https://www.theguardian.com/us-news/2026/jan/28/third-no-kings-protest-march-minnesota-ice?utm_source=chatgpt.com</t>
  </si>
  <si>
    <t>wunc.org</t>
  </si>
  <si>
    <t>https://www.wunc.org/term/news/2026-01-10/anti-ice-protesters-durham-after-shootings-minneapolis?utm_source=chatgpt.com</t>
  </si>
  <si>
    <t>3-ICE-EN</t>
  </si>
  <si>
    <t>Youtube</t>
  </si>
  <si>
    <t>https://www.youtube.com/watch?v=suSs4jVxrbI&amp;utm_source=chatgpt.com</t>
  </si>
  <si>
    <t>4-ICE-EN</t>
  </si>
  <si>
    <t>https://www.euronews.com/video/2026/01/31/thousands-march-across-us-cities-during-anti-ice-strike?utm_source=chatgpt.com</t>
  </si>
  <si>
    <t>https://www.theguardian.com/us-news/2026/mar/20/los-angeles-ice-protest-eye-lapd?utm_source=chatgpt.com</t>
  </si>
  <si>
    <t>5-ICE-EN</t>
  </si>
  <si>
    <t>6-ICE-EN</t>
  </si>
  <si>
    <t>ABC News</t>
  </si>
  <si>
    <t>https://abcnews.com/US/anti-ice-protests-place-nationwide-fatal-shootings-minneapolis/story?id=129670048&amp;utm_source=chatgpt.com</t>
  </si>
  <si>
    <t>7-ICE-EN</t>
  </si>
  <si>
    <t>https://www.theguardian.com/us-news/2026/jan/29/ice-out-strike-protests-explained?utm_source=chatgpt.com</t>
  </si>
  <si>
    <t>8-ICE-EN</t>
  </si>
  <si>
    <t>N.A</t>
  </si>
  <si>
    <t>9-ICE-EN</t>
  </si>
  <si>
    <t>https://www.washingtonpost.com/ripple/2026/02/02/minneapolis-ice-watch-protests-defend-612/?utm_source=chatgpt.com</t>
  </si>
  <si>
    <t>Fox News</t>
  </si>
  <si>
    <t>https://www.foxnews.com/us/anti-ice-mob-storms-minnesota-church-over-pastors-alleged-ties-immigration-enforcement?utm_source=chatgpt.com</t>
  </si>
  <si>
    <t>10-ICE-EN</t>
  </si>
  <si>
    <t>minneapolismn.gov</t>
  </si>
  <si>
    <t>https://www.minneapolismn.gov/news/2026/january/ag-lawsuit/?utm_source=chatgpt.com</t>
  </si>
  <si>
    <t>SFGATE</t>
  </si>
  <si>
    <t>https://www.sfgate.com/bayarea/article/tsa-passenger-data-ice-sfo-22095809.php?utm_source=chatgpt.com</t>
  </si>
  <si>
    <t>1-IRN-EN</t>
  </si>
  <si>
    <t>https://www.britannica.com/event/2026-Iranian-Protests?utm_source=chatgpt.com</t>
  </si>
  <si>
    <t>https://www.amnesty.org/en/latest/campaigns/2026/01/what-happened-at-the-protests-in-iran/?utm_source=chatgpt.com</t>
  </si>
  <si>
    <t>https://en.wikipedia.org/wiki/2025%E2%80%932026_Iranian_protests?utm_source=chatgpt.com</t>
  </si>
  <si>
    <t>https://en.wikipedia.org/wiki/2025_Iranian_protests?utm_source=chatgpt.com</t>
  </si>
  <si>
    <t>Al Jazeera</t>
  </si>
  <si>
    <t>https://www.aljazeera.com/news/2026/1/12/what-we-know-about-the-protests-sweeping-iran?utm_source=chatgpt.com</t>
  </si>
  <si>
    <t>2-IRN-EN</t>
  </si>
  <si>
    <t>https://www.reuters.com/world/middle-east/iran-says-it-is-implementing-sentences-against-convicted-january-protesters-2026-03-23/?utm_source=chatgpt.com</t>
  </si>
  <si>
    <t>https://apnews.com/article/899cffa851d2c87f1feefd561ee9bde3?utm_source=chatgpt.com</t>
  </si>
  <si>
    <t>3-IRN-EN</t>
  </si>
  <si>
    <t>KÜRE Encyclopedia</t>
  </si>
  <si>
    <t>https://kureansiklopedi.com/en/detay/iran-protests-december-2025-c7b9a?utm_source=chatgpt.com</t>
  </si>
  <si>
    <t>https://www.euronews.com/2026/01/01/iran-faces-widest-unrest-since-2022-what-we-know-so-far?utm_source=chatgpt.com</t>
  </si>
  <si>
    <t>4-IRN-EN</t>
  </si>
  <si>
    <t>https://www.hrw.org/news/2026/01/08/iran-authorities-renewed-cycle-of-protest-bloodshed?utm_source=chatgpt.com</t>
  </si>
  <si>
    <t>AP NEWS</t>
  </si>
  <si>
    <t>5-IRN-EN</t>
  </si>
  <si>
    <t>https://www.theguardian.com/world/2026/mar/25/iranians-try-to-maintain-semblance-of-normal-life-as-conflict-drags-on?utm_source=chatgpt.com</t>
  </si>
  <si>
    <t>6-IRN-EN</t>
  </si>
  <si>
    <t>Real Instituto Elcano</t>
  </si>
  <si>
    <t>https://www.realinstitutoelcano.org/en/analyses/irans-2025-26-protests-resilience-and-political-containment/?utm_source=chatgpt.com</t>
  </si>
  <si>
    <t>7-IRN-EN</t>
  </si>
  <si>
    <t>The New Yorker</t>
  </si>
  <si>
    <t>https://www.newyorker.com/news/the-lede/the-distant-promise-of-irans-would-be-king?utm_source=chatgpt.com</t>
  </si>
  <si>
    <t>https://en.wikipedia.org/wiki/Kaveh_%28organization%29?utm_source=chatgpt.com</t>
  </si>
  <si>
    <t>8-IRN-EN</t>
  </si>
  <si>
    <t>ABC NEWS</t>
  </si>
  <si>
    <t>https://abcnews.go.com/International/iranian-protests-expand-economy-students-demand-freedom-end/story?id=128780906&amp;utm_source=chatgpt.com</t>
  </si>
  <si>
    <t>https://www.washingtonpost.com/opinions/2026/03/25/iran-islamic-republic-protests-executions/?utm_source=chatgpt.com</t>
  </si>
  <si>
    <t>EFE Noticias</t>
  </si>
  <si>
    <t>https://efe.com/en/latest-news/2025-12-29/protests-over-economic-deterioration-in-iran-spread-to-several-cities/?utm_source=chatgpt.com</t>
  </si>
  <si>
    <t>9-IRN-EN</t>
  </si>
  <si>
    <t>Critical Threats</t>
  </si>
  <si>
    <t>https://www.criticalthreats.org/analysis/iran-updates-december-2025?utm_source=chatgpt.com</t>
  </si>
  <si>
    <t>10-IRN-EN</t>
  </si>
  <si>
    <t>https://www.amnesty.org/en/latest/news/2026/01/iran-deaths-injuries-authorities-protest-bloodshed/?utm_source=chatgpt.com</t>
  </si>
  <si>
    <t>https://www.amnesty.org/en/latest/news/2026/01/internet-shutdown-in-iran-hides-violations-in-escalating-protests/?utm_source=chatgpt.com</t>
  </si>
  <si>
    <t>1-ASK-EN</t>
  </si>
  <si>
    <t>https://it.wikipedia.org/wiki/Askatasuna_%28centro_sociale%29?utm_source=chatgpt.com</t>
  </si>
  <si>
    <r>
      <rPr>
        <rFont val="Arial"/>
        <color theme="1"/>
      </rPr>
      <t xml:space="preserve">Le </t>
    </r>
    <r>
      <rPr>
        <rFont val="Arial"/>
        <color rgb="FF000000"/>
      </rPr>
      <t>Monde.fr</t>
    </r>
  </si>
  <si>
    <t>https://www.lemonde.fr/en/international/article/2026/02/10/meloni-tightens-security-policy-as-political-tensions-grip-italy_6750359_4.html?utm_source=chatgpt.com</t>
  </si>
  <si>
    <t>https://peoplesdispatch.org/2026/02/02/partisan-turin-rises-against-militarization-and-repression/?utm_source=chatgpt.com</t>
  </si>
  <si>
    <t>https://www.euronews.com/2026/02/02/italy-fast-tracks-security-decree-after-violent-clashes-in-turin-injure-100-officers?utm_source=chatgpt.com</t>
  </si>
  <si>
    <t>2-ASK-EN</t>
  </si>
  <si>
    <t>https://freedomnews.org.uk/2026/02/01/turin-50000-protest-askatasuna-eviction/?utm_source=chatgpt.com</t>
  </si>
  <si>
    <t>3-ASK-EN</t>
  </si>
  <si>
    <t>https://www.reutersconnect.com/item/national-protest-in-solidarity-with-askatasuna-in-turin/dGFnOnJldXRlcnMuY29tLDIwMjY6bmV3c21sX01UMVpVTUEwMDBSTFdNWUc?utm_source=chatgpt.com</t>
  </si>
  <si>
    <t>4-ASK-EN</t>
  </si>
  <si>
    <t>5-ASK-EN</t>
  </si>
  <si>
    <t>Brussels Signal</t>
  </si>
  <si>
    <t>https://brusselssignal.eu/2026/02/far-left-riots-shake-italy/?utm_source=chatgpt.com</t>
  </si>
  <si>
    <t>6-ASK-EN</t>
  </si>
  <si>
    <t>Abolitionist Futures</t>
  </si>
  <si>
    <t>https://abolitionistfutures.com/latest-news/when-people-disobey?utm_source=chatgpt.com</t>
  </si>
  <si>
    <t>Anadolu Ajansı</t>
  </si>
  <si>
    <t>https://www.aa.com.tr/en/europe/italy-s-interior-minister-says-police-prevented-greater-damage-in-turin-clashes/3819195?utm_source=chatgpt.com</t>
  </si>
  <si>
    <t>7-ASK-EN</t>
  </si>
  <si>
    <t>https://crimethinc.com/2026/02/07/basic-banalities-concerning-the-january-31-demonstration-in-turin-reflections-on-a-night-of-street-fighting-in-italy?utm_source=chatgpt.com</t>
  </si>
  <si>
    <t>8-ASK-EN</t>
  </si>
  <si>
    <t>9-ASK-EN</t>
  </si>
  <si>
    <t>DIE WELT</t>
  </si>
  <si>
    <t>https://www.welt.de/article697e7b8aa7dd3fc6705560c2?utm_source=chatgpt.com</t>
  </si>
  <si>
    <t>10-ASK-EN</t>
  </si>
  <si>
    <t>Mistral</t>
  </si>
  <si>
    <t>https://en.wikipedia.org/wiki/January_30,_2026_protests_against_ICE</t>
  </si>
  <si>
    <t>https://en.wikipedia.org/wiki/2026_U.S._immigration_enforcement_protests</t>
  </si>
  <si>
    <t>https://en.wikipedia.org/wiki/January_23,_2026_Minnesota_protests_against_ICE</t>
  </si>
  <si>
    <t>https://www.theguardian.com/us-news/2026/jan/31/anti-ice-protests-weekend</t>
  </si>
  <si>
    <t>https://abcnews.com/US/anti-ice-protests-place-nationwide-fatal-shootings-minneapolis/story?id=129670048</t>
  </si>
  <si>
    <t>https://www.reuters.com/world/us/nationwide-protests-walkouts-planned-over-fatal-ice-shootings-minneapolis-2026-01-30/</t>
  </si>
  <si>
    <t>CNN</t>
  </si>
  <si>
    <t>https://www.cnn.com/2026/01/31/us/minnesota-protest-national-boycott</t>
  </si>
  <si>
    <t>https://www.cnn.com/us/live-news/minneapolis-ice-shooting-immigration-crackdown-01-10-26</t>
  </si>
  <si>
    <t>NY Times</t>
  </si>
  <si>
    <t>https://www.nytimes.com/live/2026/01/30/us/minnesota-ice-protests-minneapolis</t>
  </si>
  <si>
    <t>Labor Notes</t>
  </si>
  <si>
    <t>https://labornotes.org/2026/01/twin-cities-massive-strike-against-ice</t>
  </si>
  <si>
    <t>https://en.wikipedia.org/wiki/Protests_against_mass_deportation_during_the_second_Trump_administration</t>
  </si>
  <si>
    <t>https://www.reutersconnect.com/item/ice-crackdown-2026-washington-dc-anti-ice-protest/dGFnOnJldXRlcnMuY29tLDIwMjY6bmV3c21sX01UMVpVTUEwMDA2VU9XNDk</t>
  </si>
  <si>
    <t>WGCU News</t>
  </si>
  <si>
    <t>https://www.wgcu.org/2026-01-12/in-photos-a-week-of-protests-against-ice</t>
  </si>
  <si>
    <t>League of Women Voters</t>
  </si>
  <si>
    <t>https://www.lwv.org/blog/whats-happening-ice-and-how-fight-back</t>
  </si>
  <si>
    <t>https://www.reuters.com/pictures/scenes-nationwide-anti-ice-protests-2026-01-30/</t>
  </si>
  <si>
    <t>ACLED</t>
  </si>
  <si>
    <t>https://acleddata.com/update/united-states-and-canada-overview-march-2026</t>
  </si>
  <si>
    <t>https://www.aljazeera.com/news/2026/1/21/public-opinion-shifts-on-ice-as-advocates-warn-of-us-inflection-point</t>
  </si>
  <si>
    <t>GIS Report</t>
  </si>
  <si>
    <t>https://www.gisreportsonline.com/r/ice-mission-creep/</t>
  </si>
  <si>
    <t>https://www.theguardian.com/us-news/2026/jan/30/ice-protests-friday-strike</t>
  </si>
  <si>
    <t>https://www.cnn.com/us/live-news/minnesota-ice-minneapolis-protests-01-30-26</t>
  </si>
  <si>
    <t>Politico</t>
  </si>
  <si>
    <t>https://www.politico.com/news/2026/01/10/anti-ice-protesters-assemble-across-the-us-after-shootings-in-minneapolis-and-portland-oregon-00721209</t>
  </si>
  <si>
    <t>https://en.wikipedia.org/wiki/Operation_Metro_Surge</t>
  </si>
  <si>
    <t>https://www.theguardian.com/us-news/2026/jan/29/ice-out-strike-protests-explained</t>
  </si>
  <si>
    <t>https://www.nytimes.com/2026/01/14/us/ice-protests-activism.html</t>
  </si>
  <si>
    <t>NPR</t>
  </si>
  <si>
    <t>https://www.npr.org/2026/01/31/nx-s1-5695221/anti-ice-protesters-call-for-national-action-against-federal-immigration-tactics</t>
  </si>
  <si>
    <t>https://www.realinstitutoelcano.org/en/commentaries/ice-is-not-welcome-urban-raids-capacity-and-the-politics-of-us-immigration-enforcement/</t>
  </si>
  <si>
    <t>The Marshall Project</t>
  </si>
  <si>
    <t>https://www.themarshallproject.org/2026/02/04/ice-immigration-intimidation-tactics-protesters</t>
  </si>
  <si>
    <t>https://www.theguardian.com/us-news/2026/jan/17/minneapolis-twin-cities-ice-dispatch</t>
  </si>
  <si>
    <t>Legal Defense Fund</t>
  </si>
  <si>
    <t>https://www.naacpldf.org/case-issue/challenging-state-violence-authoritarianism/</t>
  </si>
  <si>
    <t>https://en.wikipedia.org/wiki/2025%E2%80%932026_Iranian_protests</t>
  </si>
  <si>
    <t>BYU NSSA</t>
  </si>
  <si>
    <t>https://nssa.byu.edu/irans-2025-2026-uprisings-and-the-legitimacy-crisis-of-the-islamic-republic</t>
  </si>
  <si>
    <t>https://www.aljazeera.com/news/2026/1/12/what-we-know-about-the-protests-sweeping-iran</t>
  </si>
  <si>
    <t>The Soufan Center</t>
  </si>
  <si>
    <t>https://thesoufancenter.org/intelbrief-2026-january-7/</t>
  </si>
  <si>
    <t>https://www.amnesty.org/en/latest/campaigns/2026/01/what-happened-at-the-protests-in-iran/</t>
  </si>
  <si>
    <t>Stimson Center</t>
  </si>
  <si>
    <t>https://www.stimson.org/2026/why-the-latest-iran-protests-started-in-the-tehran-bazaar/</t>
  </si>
  <si>
    <t>https://www.realinstitutoelcano.org/en/analyses/irans-2025-26-protests-resilience-and-political-containment/</t>
  </si>
  <si>
    <t>Worker-Communist Party of Iran</t>
  </si>
  <si>
    <t>https://wpiran.org/english/a-summary-of-the-december-2025-january-2026-uprising-in-iran/</t>
  </si>
  <si>
    <t>CIVICUS Lens</t>
  </si>
  <si>
    <t>https://lens.civicus.org/iran-revolt-crushed-but-crisis-unresolved/</t>
  </si>
  <si>
    <t>Carolina Political Review</t>
  </si>
  <si>
    <t>https://www.carolinapoliticalreview.org/editorial-content/2026/2/18/the-logic-of-repression-following-the-2026-uprisings-in-iran</t>
  </si>
  <si>
    <t>https://www.aljazeera.com/news/2026/1/2/five-things-you-need-to-know-about-protests-in-iran-2</t>
  </si>
  <si>
    <t>https://www.britannica.com/event/2026-Iranian-Protests</t>
  </si>
  <si>
    <t>Iran News Update</t>
  </si>
  <si>
    <t>https://irannewsupdate.com/news/insider/irans-unrest-in-2025-2026-a-society-in-continuous-protest-despite-repression-and-war/</t>
  </si>
  <si>
    <t>UConn Today</t>
  </si>
  <si>
    <t>https://today.uconn.edu/2026/02/uprising-in-iran-a-comprehensive-qa-on-what-needs-to-be-told/</t>
  </si>
  <si>
    <t>https://en.wikipedia.org/wiki/2026_Iran_massacres</t>
  </si>
  <si>
    <t>ISW</t>
  </si>
  <si>
    <t>https://understandingwar.org/research/middle-east/iran-update-december-31-2025/</t>
  </si>
  <si>
    <t>ICT</t>
  </si>
  <si>
    <t>https://ict.org.il/irans-information-warfare-during-the-december-2025-january-2026-protests/</t>
  </si>
  <si>
    <t>U.S. Department of Treasury</t>
  </si>
  <si>
    <t>https://home.treasury.gov/news/press-releases/sb0364</t>
  </si>
  <si>
    <t>OHCHR</t>
  </si>
  <si>
    <t>https://www.ohchr.org/en/press-releases/2026/01/experts-urge-iran-break-cycle-violence-create-space-dialogue</t>
  </si>
  <si>
    <t>https://www.aljazeera.com/news/2025/12/31/protests-in-iran-spread-amid-deep-discontent-over-economic-duress</t>
  </si>
  <si>
    <t>Mistal</t>
  </si>
  <si>
    <t>https://www.nytimes.com/2025/12/31/world/middleeast/iran-shutdown-protests.html</t>
  </si>
  <si>
    <t>https://www.ohchr.org/en/media-advisories/2026/01/human-rights-council-adopts-resolution-extending-mandates-fact-finding</t>
  </si>
  <si>
    <t>https://www.amnesty.org/en/latest/news/2026/01/iran-deaths-injuries-authorities-protest-bloodshed/</t>
  </si>
  <si>
    <t>Global Security</t>
  </si>
  <si>
    <t>https://www.globalsecurity.org/wmd/library/news/iran/2026/03/iran-260311-ohchr01.htm</t>
  </si>
  <si>
    <t>https://www.hrw.org/news/2026/02/04/iran-human-rights-situation-spirals-deeper-into-crisis</t>
  </si>
  <si>
    <t>Il Sole 24 ORE</t>
  </si>
  <si>
    <t>https://en.ilsole24ore.com/art/turin-via-two-processions-the-askatasuna-social-centre-AIgzFzAB</t>
  </si>
  <si>
    <t>https://brusselssignal.eu/2026/02/far-left-riots-shake-italy/</t>
  </si>
  <si>
    <t>https://www.foxnews.com/world/italy-rocked-anarchist-led-riots-over-100-police-injured-meloni-condemns-violence</t>
  </si>
  <si>
    <t>https://peoplesdispatch.org/2026/02/02/partisan-turin-rises-against-militarization-and-repression/</t>
  </si>
  <si>
    <t>AA</t>
  </si>
  <si>
    <t>https://www.aa.com.tr/en/europe/italian-government-to-meet-after-clashes-in-turin-injure-over-100-officers/3816965</t>
  </si>
  <si>
    <t>https://freedomnews.org.uk/2026/02/01/turin-50000-protest-askatasuna-eviction/</t>
  </si>
  <si>
    <t>Daily Mail</t>
  </si>
  <si>
    <t>https://www.dailymail.co.uk/news/article-15519647/More-100-police-injured-left-wing-supporters-riots-Turin-closure-cultural-centre.html</t>
  </si>
  <si>
    <t>https://www.euronews.com/2026/02/02/italy-fast-tracks-security-decree-after-violent-clashes-in-turin-injure-100-officers</t>
  </si>
  <si>
    <t>https://www.reuters.com/world/italian-police-get-new-arrest-powers-after-turin-riot-2026-02-05/</t>
  </si>
  <si>
    <t>https://www.reutersconnect.com/item/protest-in-support-of-askatasuna-social-centre-in-turin-italy/dGFnOnJldXRlcnMuY29tLDIwMjY6bmV3c21sX1JDMkhDSkEzNDVUSw</t>
  </si>
  <si>
    <t>https://crimethinc.com/2026/02/07/basic-banalities-concerning-the-january-31-demonstration-in-turin-reflections-on-a-night-of-street-fighting-in-italy</t>
  </si>
  <si>
    <t>Doppio zero</t>
  </si>
  <si>
    <t>https://www.doppiozero.com/askatasuna-voci-da-torino-31-gennaio-2026</t>
  </si>
  <si>
    <t>La Stampa</t>
  </si>
  <si>
    <t>https://www.lastampa.it/torino/2026/01/31/news/corteo_askatasuna_meloni_centri_sociali-15489588/</t>
  </si>
  <si>
    <t>Rai News</t>
  </si>
  <si>
    <t>https://www.rainews.it/maratona/2026/01/askatasuna-in-migliaia-da-tutta-italia-davanti-a-ateneo-occupato-a-torino-3d3cf8f2-7e2a-46b8-895d-53001bc431ed.html</t>
  </si>
  <si>
    <t>https://www.rainews.it/tgr/piemonte/maratona/2026/01/corteo-per-askatasuna-la-diretta-ad64103d-e326-4623-a7e5-f4ecb7804b7f.html</t>
  </si>
  <si>
    <t>Associazione Italiana Vittime del Terrorismo</t>
  </si>
  <si>
    <t>https://www.vittimeterrorismo.it/manifestazione-del-31-gennaio-2026-di-askatasuna-a-torino/</t>
  </si>
  <si>
    <t>La Repubblica</t>
  </si>
  <si>
    <t>https://torino.repubblica.it/cronaca/2026/01/31/diretta/manifestazione_contro_sgombero_askatasuna_31_gennaio_2026-425130322/</t>
  </si>
  <si>
    <t>Torino Today</t>
  </si>
  <si>
    <t>https://www.torinotoday.it/cronaca/askatasuna-manifestazione-31-gennaio-2026-scontri-regina-martellate.html</t>
  </si>
  <si>
    <t>Il Post</t>
  </si>
  <si>
    <t>https://www.ilpost.it/2026/01/31/torino-corteo-askatasuna/</t>
  </si>
  <si>
    <t>Breitbart</t>
  </si>
  <si>
    <t>https://www.breitbart.com/europe/2026/02/01/over-100-police-injured-as-riots-erupt-in-italy-over-shut-down-of-far-left-activist-base/</t>
  </si>
  <si>
    <t>Unione Sarda</t>
  </si>
  <si>
    <t>https://www.unionesarda.it/en/italy/askatasuna-march-in-turin-molotov-cocktails-fired-at-police-who-responded-with-tear-gas-y4zondc1</t>
  </si>
  <si>
    <t>https://www.unionesarda.it/en/italy/guerrilla-fighting-over-askatasuna-in-turin-leaves-31-officers-injured-after-one-officer-was-kicked-in-the-head-and-hammered-f5gi6uld</t>
  </si>
  <si>
    <t>Graphs ChatGPT</t>
  </si>
  <si>
    <t>Graphs Mistral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</si>
</sst>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hh:mm:ss"/>
  </numFmts>
  <fonts count="17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color theme="1"/>
      <name val="Arial"/>
    </font>
    <font/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b/>
      <sz val="24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46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bottom style="hair">
        <color rgb="FF000000"/>
      </bottom>
    </border>
    <border>
      <right style="medium">
        <color rgb="FF000000"/>
      </right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medium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bottom style="thin">
        <color rgb="FF000000"/>
      </bottom>
    </border>
    <border>
      <top style="hair">
        <color rgb="FF000000"/>
      </top>
      <bottom style="thin">
        <color rgb="FF000000"/>
      </bottom>
    </border>
    <border>
      <right style="medium">
        <color rgb="FF000000"/>
      </right>
      <top style="hair">
        <color rgb="FF000000"/>
      </top>
      <bottom style="thin">
        <color rgb="FF000000"/>
      </bottom>
    </border>
    <border>
      <top style="thin">
        <color rgb="FF000000"/>
      </top>
      <bottom style="hair">
        <color rgb="FF000000"/>
      </bottom>
    </border>
    <border>
      <right style="medium">
        <color rgb="FF000000"/>
      </right>
      <top style="thin">
        <color rgb="FF000000"/>
      </top>
      <bottom style="hair">
        <color rgb="FF000000"/>
      </bottom>
    </border>
    <border>
      <top style="hair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hair">
        <color rgb="FF000000"/>
      </top>
    </border>
    <border>
      <top style="hair">
        <color rgb="FF000000"/>
      </top>
      <bottom style="medium">
        <color rgb="FF000000"/>
      </bottom>
    </border>
    <border>
      <right style="medium">
        <color rgb="FF000000"/>
      </right>
      <top style="hair">
        <color rgb="FF000000"/>
      </top>
      <bottom style="medium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10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1" fillId="0" fontId="3" numFmtId="0" xfId="0" applyAlignment="1" applyBorder="1" applyFont="1">
      <alignment horizontal="right" vertical="bottom"/>
    </xf>
    <xf borderId="2" fillId="0" fontId="3" numFmtId="0" xfId="0" applyAlignment="1" applyBorder="1" applyFont="1">
      <alignment vertical="bottom"/>
    </xf>
    <xf borderId="2" fillId="0" fontId="3" numFmtId="0" xfId="0" applyAlignment="1" applyBorder="1" applyFont="1">
      <alignment vertical="bottom"/>
    </xf>
    <xf borderId="2" fillId="0" fontId="3" numFmtId="0" xfId="0" applyAlignment="1" applyBorder="1" applyFont="1">
      <alignment shrinkToFit="0" vertical="bottom" wrapText="1"/>
    </xf>
    <xf borderId="2" fillId="0" fontId="3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shrinkToFit="0" wrapText="1"/>
    </xf>
    <xf borderId="0" fillId="0" fontId="3" numFmtId="0" xfId="0" applyAlignment="1" applyFont="1">
      <alignment shrinkToFit="0" wrapText="1"/>
    </xf>
    <xf borderId="0" fillId="0" fontId="3" numFmtId="0" xfId="0" applyFont="1"/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shrinkToFit="0" wrapText="1"/>
    </xf>
    <xf borderId="6" fillId="0" fontId="3" numFmtId="0" xfId="0" applyBorder="1" applyFont="1"/>
    <xf borderId="7" fillId="0" fontId="3" numFmtId="0" xfId="0" applyAlignment="1" applyBorder="1" applyFont="1">
      <alignment horizontal="right" shrinkToFit="0" wrapText="1"/>
    </xf>
    <xf borderId="8" fillId="0" fontId="3" numFmtId="0" xfId="0" applyAlignment="1" applyBorder="1" applyFont="1">
      <alignment shrinkToFit="0" wrapText="1"/>
    </xf>
    <xf borderId="8" fillId="0" fontId="3" numFmtId="0" xfId="0" applyAlignment="1" applyBorder="1" applyFont="1">
      <alignment shrinkToFit="0" wrapText="1"/>
    </xf>
    <xf borderId="8" fillId="0" fontId="3" numFmtId="0" xfId="0" applyBorder="1" applyFont="1"/>
    <xf borderId="9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horizontal="right" shrinkToFit="0" wrapText="1"/>
    </xf>
    <xf borderId="0" fillId="0" fontId="3" numFmtId="0" xfId="0" applyAlignment="1" applyFont="1">
      <alignment shrinkToFit="0" wrapText="1"/>
    </xf>
    <xf borderId="8" fillId="0" fontId="3" numFmtId="0" xfId="0" applyBorder="1" applyFont="1"/>
    <xf borderId="0" fillId="0" fontId="3" numFmtId="0" xfId="0" applyFont="1"/>
    <xf borderId="10" fillId="0" fontId="3" numFmtId="0" xfId="0" applyAlignment="1" applyBorder="1" applyFont="1">
      <alignment horizontal="right" shrinkToFit="0" wrapText="1"/>
    </xf>
    <xf borderId="11" fillId="0" fontId="3" numFmtId="0" xfId="0" applyAlignment="1" applyBorder="1" applyFont="1">
      <alignment shrinkToFit="0" wrapText="1"/>
    </xf>
    <xf borderId="11" fillId="0" fontId="3" numFmtId="0" xfId="0" applyBorder="1" applyFont="1"/>
    <xf borderId="11" fillId="0" fontId="3" numFmtId="0" xfId="0" applyBorder="1" applyFont="1"/>
    <xf borderId="12" fillId="0" fontId="3" numFmtId="0" xfId="0" applyAlignment="1" applyBorder="1" applyFont="1">
      <alignment shrinkToFit="0" wrapText="1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left" readingOrder="0" vertical="center"/>
    </xf>
    <xf borderId="0" fillId="0" fontId="1" numFmtId="0" xfId="0" applyAlignment="1" applyFont="1">
      <alignment horizontal="center" vertical="center"/>
    </xf>
    <xf borderId="13" fillId="0" fontId="1" numFmtId="0" xfId="0" applyAlignment="1" applyBorder="1" applyFont="1">
      <alignment horizontal="center" readingOrder="0" vertical="center"/>
    </xf>
    <xf borderId="14" fillId="0" fontId="1" numFmtId="0" xfId="0" applyAlignment="1" applyBorder="1" applyFont="1">
      <alignment horizontal="center" vertical="center"/>
    </xf>
    <xf borderId="15" fillId="0" fontId="1" numFmtId="0" xfId="0" applyAlignment="1" applyBorder="1" applyFont="1">
      <alignment horizontal="center" readingOrder="0" vertical="center"/>
    </xf>
    <xf borderId="16" fillId="0" fontId="4" numFmtId="0" xfId="0" applyBorder="1" applyFont="1"/>
    <xf borderId="17" fillId="0" fontId="4" numFmtId="0" xfId="0" applyBorder="1" applyFont="1"/>
    <xf borderId="18" fillId="0" fontId="4" numFmtId="0" xfId="0" applyBorder="1" applyFont="1"/>
    <xf borderId="19" fillId="0" fontId="4" numFmtId="0" xfId="0" applyBorder="1" applyFont="1"/>
    <xf borderId="20" fillId="0" fontId="1" numFmtId="0" xfId="0" applyAlignment="1" applyBorder="1" applyFont="1">
      <alignment horizontal="center" readingOrder="0" vertical="center"/>
    </xf>
    <xf borderId="21" fillId="0" fontId="1" numFmtId="0" xfId="0" applyAlignment="1" applyBorder="1" applyFont="1">
      <alignment horizontal="center" readingOrder="0" vertical="center"/>
    </xf>
    <xf borderId="4" fillId="0" fontId="1" numFmtId="0" xfId="0" applyAlignment="1" applyBorder="1" applyFont="1">
      <alignment horizontal="center" readingOrder="0" vertical="center"/>
    </xf>
    <xf borderId="0" fillId="0" fontId="1" numFmtId="164" xfId="0" applyAlignment="1" applyFont="1" applyNumberFormat="1">
      <alignment horizontal="center" readingOrder="0" vertical="center"/>
    </xf>
    <xf borderId="0" fillId="0" fontId="1" numFmtId="165" xfId="0" applyAlignment="1" applyFont="1" applyNumberFormat="1">
      <alignment horizontal="center" readingOrder="0" vertical="center"/>
    </xf>
    <xf borderId="22" fillId="0" fontId="5" numFmtId="0" xfId="0" applyAlignment="1" applyBorder="1" applyFont="1">
      <alignment horizontal="left" readingOrder="0" vertical="center"/>
    </xf>
    <xf borderId="23" fillId="0" fontId="1" numFmtId="0" xfId="0" applyAlignment="1" applyBorder="1" applyFont="1">
      <alignment horizontal="center" readingOrder="0" vertical="center"/>
    </xf>
    <xf borderId="4" fillId="0" fontId="4" numFmtId="0" xfId="0" applyBorder="1" applyFont="1"/>
    <xf borderId="22" fillId="0" fontId="4" numFmtId="0" xfId="0" applyBorder="1" applyFont="1"/>
    <xf borderId="24" fillId="0" fontId="6" numFmtId="0" xfId="0" applyAlignment="1" applyBorder="1" applyFont="1">
      <alignment horizontal="left" readingOrder="0" vertical="center"/>
    </xf>
    <xf borderId="25" fillId="0" fontId="1" numFmtId="0" xfId="0" applyAlignment="1" applyBorder="1" applyFont="1">
      <alignment horizontal="center" readingOrder="0" vertical="center"/>
    </xf>
    <xf borderId="24" fillId="0" fontId="1" numFmtId="0" xfId="0" applyAlignment="1" applyBorder="1" applyFont="1">
      <alignment horizontal="center" readingOrder="0" vertical="center"/>
    </xf>
    <xf borderId="24" fillId="0" fontId="7" numFmtId="0" xfId="0" applyAlignment="1" applyBorder="1" applyFont="1">
      <alignment horizontal="left" readingOrder="0" vertical="center"/>
    </xf>
    <xf borderId="26" fillId="0" fontId="4" numFmtId="0" xfId="0" applyBorder="1" applyFont="1"/>
    <xf borderId="6" fillId="0" fontId="4" numFmtId="0" xfId="0" applyBorder="1" applyFont="1"/>
    <xf borderId="27" fillId="0" fontId="1" numFmtId="0" xfId="0" applyAlignment="1" applyBorder="1" applyFont="1">
      <alignment horizontal="center" readingOrder="0" vertical="center"/>
    </xf>
    <xf borderId="27" fillId="0" fontId="8" numFmtId="0" xfId="0" applyAlignment="1" applyBorder="1" applyFont="1">
      <alignment horizontal="left" readingOrder="0" vertical="center"/>
    </xf>
    <xf borderId="28" fillId="0" fontId="1" numFmtId="0" xfId="0" applyAlignment="1" applyBorder="1" applyFont="1">
      <alignment horizontal="center" readingOrder="0" vertical="center"/>
    </xf>
    <xf borderId="27" fillId="0" fontId="1" numFmtId="0" xfId="0" applyAlignment="1" applyBorder="1" applyFont="1">
      <alignment horizontal="center" readingOrder="0" vertical="center"/>
    </xf>
    <xf borderId="7" fillId="0" fontId="1" numFmtId="0" xfId="0" applyAlignment="1" applyBorder="1" applyFont="1">
      <alignment horizontal="center" readingOrder="0" vertical="center"/>
    </xf>
    <xf borderId="8" fillId="0" fontId="1" numFmtId="164" xfId="0" applyAlignment="1" applyBorder="1" applyFont="1" applyNumberFormat="1">
      <alignment horizontal="center" readingOrder="0" vertical="center"/>
    </xf>
    <xf borderId="8" fillId="0" fontId="1" numFmtId="165" xfId="0" applyAlignment="1" applyBorder="1" applyFont="1" applyNumberFormat="1">
      <alignment horizontal="center" readingOrder="0" vertical="center"/>
    </xf>
    <xf borderId="8" fillId="0" fontId="1" numFmtId="0" xfId="0" applyAlignment="1" applyBorder="1" applyFont="1">
      <alignment horizontal="center" readingOrder="0" vertical="center"/>
    </xf>
    <xf borderId="29" fillId="0" fontId="1" numFmtId="0" xfId="0" applyAlignment="1" applyBorder="1" applyFont="1">
      <alignment horizontal="center" readingOrder="0" vertical="center"/>
    </xf>
    <xf borderId="29" fillId="0" fontId="9" numFmtId="0" xfId="0" applyAlignment="1" applyBorder="1" applyFont="1">
      <alignment horizontal="left" readingOrder="0" vertical="center"/>
    </xf>
    <xf borderId="30" fillId="0" fontId="1" numFmtId="0" xfId="0" applyAlignment="1" applyBorder="1" applyFont="1">
      <alignment horizontal="center" readingOrder="0" vertical="center"/>
    </xf>
    <xf borderId="31" fillId="0" fontId="1" numFmtId="0" xfId="0" applyAlignment="1" applyBorder="1" applyFont="1">
      <alignment horizontal="center" readingOrder="0" vertical="center"/>
    </xf>
    <xf borderId="32" fillId="0" fontId="1" numFmtId="0" xfId="0" applyAlignment="1" applyBorder="1" applyFont="1">
      <alignment horizontal="center" readingOrder="0" vertical="center"/>
    </xf>
    <xf borderId="33" fillId="0" fontId="1" numFmtId="164" xfId="0" applyAlignment="1" applyBorder="1" applyFont="1" applyNumberFormat="1">
      <alignment horizontal="center" readingOrder="0" vertical="center"/>
    </xf>
    <xf borderId="33" fillId="0" fontId="1" numFmtId="165" xfId="0" applyAlignment="1" applyBorder="1" applyFont="1" applyNumberFormat="1">
      <alignment horizontal="center" readingOrder="0" vertical="center"/>
    </xf>
    <xf borderId="33" fillId="0" fontId="1" numFmtId="0" xfId="0" applyAlignment="1" applyBorder="1" applyFont="1">
      <alignment horizontal="center" readingOrder="0" vertical="center"/>
    </xf>
    <xf borderId="33" fillId="0" fontId="1" numFmtId="0" xfId="0" applyAlignment="1" applyBorder="1" applyFont="1">
      <alignment horizontal="left" readingOrder="0" vertical="center"/>
    </xf>
    <xf borderId="34" fillId="0" fontId="1" numFmtId="0" xfId="0" applyAlignment="1" applyBorder="1" applyFont="1">
      <alignment horizontal="center" readingOrder="0" vertical="center"/>
    </xf>
    <xf borderId="24" fillId="0" fontId="1" numFmtId="0" xfId="0" applyAlignment="1" applyBorder="1" applyFont="1">
      <alignment horizontal="center" readingOrder="0" vertical="center"/>
    </xf>
    <xf borderId="24" fillId="0" fontId="1" numFmtId="0" xfId="0" applyAlignment="1" applyBorder="1" applyFont="1">
      <alignment horizontal="center" readingOrder="0" vertical="center"/>
    </xf>
    <xf borderId="29" fillId="0" fontId="10" numFmtId="0" xfId="0" applyAlignment="1" applyBorder="1" applyFont="1">
      <alignment horizontal="left" readingOrder="0" vertical="center"/>
    </xf>
    <xf borderId="27" fillId="0" fontId="11" numFmtId="0" xfId="0" applyAlignment="1" applyBorder="1" applyFont="1">
      <alignment horizontal="left" readingOrder="0" vertical="center"/>
    </xf>
    <xf borderId="31" fillId="0" fontId="12" numFmtId="0" xfId="0" applyAlignment="1" applyBorder="1" applyFont="1">
      <alignment horizontal="left" readingOrder="0" vertical="center"/>
    </xf>
    <xf borderId="35" fillId="0" fontId="1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36" fillId="0" fontId="1" numFmtId="0" xfId="0" applyAlignment="1" applyBorder="1" applyFont="1">
      <alignment horizontal="center" readingOrder="0" vertical="center"/>
    </xf>
    <xf borderId="36" fillId="0" fontId="13" numFmtId="0" xfId="0" applyAlignment="1" applyBorder="1" applyFont="1">
      <alignment horizontal="left" readingOrder="0" vertical="center"/>
    </xf>
    <xf borderId="37" fillId="0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22" fillId="0" fontId="1" numFmtId="0" xfId="0" applyAlignment="1" applyBorder="1" applyFont="1">
      <alignment horizontal="center" readingOrder="0" vertical="center"/>
    </xf>
    <xf borderId="0" fillId="0" fontId="14" numFmtId="0" xfId="0" applyAlignment="1" applyFont="1">
      <alignment horizontal="left" readingOrder="0" vertical="center"/>
    </xf>
    <xf borderId="5" fillId="0" fontId="1" numFmtId="0" xfId="0" applyAlignment="1" applyBorder="1" applyFont="1">
      <alignment horizontal="center" readingOrder="0" vertical="center"/>
    </xf>
    <xf borderId="31" fillId="0" fontId="15" numFmtId="0" xfId="0" applyAlignment="1" applyBorder="1" applyFont="1">
      <alignment horizontal="left" readingOrder="0" vertical="center"/>
    </xf>
    <xf borderId="6" fillId="0" fontId="1" numFmtId="0" xfId="0" applyAlignment="1" applyBorder="1" applyFont="1">
      <alignment horizontal="center" readingOrder="0" vertical="center"/>
    </xf>
    <xf borderId="31" fillId="0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/>
    </xf>
    <xf borderId="38" fillId="0" fontId="1" numFmtId="0" xfId="0" applyBorder="1" applyFont="1"/>
    <xf borderId="39" fillId="0" fontId="1" numFmtId="0" xfId="0" applyBorder="1" applyFont="1"/>
    <xf borderId="40" fillId="0" fontId="1" numFmtId="0" xfId="0" applyBorder="1" applyFont="1"/>
    <xf borderId="41" fillId="0" fontId="1" numFmtId="0" xfId="0" applyBorder="1" applyFont="1"/>
    <xf borderId="0" fillId="0" fontId="16" numFmtId="0" xfId="0" applyAlignment="1" applyFont="1">
      <alignment horizontal="center" readingOrder="0" vertical="center"/>
    </xf>
    <xf borderId="42" fillId="0" fontId="1" numFmtId="0" xfId="0" applyBorder="1" applyFont="1"/>
    <xf borderId="43" fillId="0" fontId="1" numFmtId="0" xfId="0" applyBorder="1" applyFont="1"/>
    <xf borderId="44" fillId="0" fontId="1" numFmtId="0" xfId="0" applyBorder="1" applyFont="1"/>
    <xf borderId="45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Distribution of sources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clustered"/>
        <c:ser>
          <c:idx val="0"/>
          <c:order val="0"/>
          <c:cat>
            <c:strRef>
              <c:f>'Niloofar (graphs)'!$C$2</c:f>
            </c:strRef>
          </c:cat>
          <c:val>
            <c:numRef>
              <c:f>'Niloofar (graphs)'!$A$1:$A$1000</c:f>
              <c:numCache/>
            </c:numRef>
          </c:val>
        </c:ser>
        <c:ser>
          <c:idx val="1"/>
          <c:order val="1"/>
          <c:cat>
            <c:strRef>
              <c:f>'Niloofar (graphs)'!$C$2</c:f>
            </c:strRef>
          </c:cat>
          <c:val>
            <c:numRef>
              <c:f>'Niloofar (graphs)'!$B$1:$B$1000</c:f>
              <c:numCache/>
            </c:numRef>
          </c:val>
        </c:ser>
        <c:axId val="1487370487"/>
        <c:axId val="1846576101"/>
      </c:bar3DChart>
      <c:catAx>
        <c:axId val="148737048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6576101"/>
      </c:catAx>
      <c:valAx>
        <c:axId val="1846576101"/>
        <c:scaling>
          <c:orientation val="minMax"/>
        </c:scaling>
        <c:delete val="0"/>
        <c:axPos val="b"/>
        <c:tickLblPos val="nextTo"/>
        <c:spPr>
          <a:ln>
            <a:noFill/>
          </a:ln>
        </c:spPr>
        <c:crossAx val="1487370487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Distribution of sources (with count)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clustered"/>
        <c:ser>
          <c:idx val="0"/>
          <c:order val="0"/>
          <c:tx>
            <c:strRef>
              <c:f>'Niloofar (graphs)'!$M$1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Pt>
            <c:idx val="27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'Niloofar (graphs)'!$L$2:$L$31</c:f>
            </c:strRef>
          </c:cat>
          <c:val>
            <c:numRef>
              <c:f>'Niloofar (graphs)'!$M$2:$M$31</c:f>
              <c:numCache/>
            </c:numRef>
          </c:val>
        </c:ser>
        <c:axId val="1510181930"/>
        <c:axId val="1509307138"/>
      </c:bar3DChart>
      <c:catAx>
        <c:axId val="151018193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source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09307138"/>
      </c:catAx>
      <c:valAx>
        <c:axId val="150930713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10181930"/>
        <c:crosses val="max"/>
        <c:majorUnit val="20.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Distribution of sources (with count)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'Niloofar (graphs)'!$M$1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Pt>
            <c:idx val="26"/>
            <c:spPr>
              <a:solidFill>
                <a:srgbClr val="000C31"/>
              </a:solidFill>
            </c:spPr>
          </c:dPt>
          <c:dPt>
            <c:idx val="27"/>
            <c:spPr>
              <a:solidFill>
                <a:srgbClr val="281021"/>
              </a:solidFill>
            </c:spPr>
          </c:dPt>
          <c:dPt>
            <c:idx val="28"/>
            <c:spPr>
              <a:solidFill>
                <a:srgbClr val="FF1C32"/>
              </a:solidFill>
            </c:spPr>
          </c:dPt>
          <c:dPt>
            <c:idx val="29"/>
            <c:spPr>
              <a:solidFill>
                <a:srgbClr val="240C0A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'Niloofar (graphs)'!$L$2:$L$31</c:f>
            </c:strRef>
          </c:cat>
          <c:val>
            <c:numRef>
              <c:f>'Niloofar (graphs)'!$M$2:$M$31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Distribution of sources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'Niloofar (graphs)'!$O$1</c:f>
            </c:strRef>
          </c:tx>
          <c:dPt>
            <c:idx val="0"/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Pt>
            <c:idx val="5"/>
          </c:dPt>
          <c:dPt>
            <c:idx val="6"/>
          </c:dPt>
          <c:dPt>
            <c:idx val="7"/>
          </c:dPt>
          <c:dPt>
            <c:idx val="8"/>
          </c:dPt>
          <c:dPt>
            <c:idx val="9"/>
          </c:dPt>
          <c:dPt>
            <c:idx val="10"/>
          </c:dPt>
          <c:dPt>
            <c:idx val="11"/>
          </c:dPt>
          <c:dPt>
            <c:idx val="12"/>
          </c:dPt>
          <c:dPt>
            <c:idx val="13"/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Pt>
            <c:idx val="25"/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'Niloofar (graphs)'!$N$2:$N$33</c:f>
            </c:strRef>
          </c:cat>
          <c:val>
            <c:numRef>
              <c:f>'Niloofar (graphs)'!$O$2:$O$33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Distribution of sources (ICE)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clustered"/>
        <c:ser>
          <c:idx val="0"/>
          <c:order val="0"/>
          <c:tx>
            <c:strRef>
              <c:f>'Niloofar (graphs)'!$Q$1</c:f>
            </c:strRef>
          </c:tx>
          <c:cat>
            <c:strRef>
              <c:f>'Niloofar (graphs)'!$P$2:$P$14</c:f>
            </c:strRef>
          </c:cat>
          <c:val>
            <c:numRef>
              <c:f>'Niloofar (graphs)'!$Q$2:$Q$14</c:f>
              <c:numCache/>
            </c:numRef>
          </c:val>
        </c:ser>
        <c:axId val="1830818916"/>
        <c:axId val="1289912021"/>
      </c:bar3DChart>
      <c:catAx>
        <c:axId val="183081891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Website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89912021"/>
      </c:catAx>
      <c:valAx>
        <c:axId val="1289912021"/>
        <c:scaling>
          <c:orientation val="minMax"/>
        </c:scaling>
        <c:delete val="0"/>
        <c:axPos val="b"/>
        <c:tickLblPos val="nextTo"/>
        <c:spPr>
          <a:ln>
            <a:noFill/>
          </a:ln>
        </c:spPr>
        <c:crossAx val="1830818916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Distribution of sources (with count) (ICE)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clustered"/>
        <c:ser>
          <c:idx val="0"/>
          <c:order val="0"/>
          <c:cat>
            <c:strRef>
              <c:f>'Niloofar (graphs)'!$R$2:$R$14</c:f>
            </c:strRef>
          </c:cat>
          <c:val>
            <c:numRef>
              <c:f>'Niloofar (graphs)'!$S$2:$S$14</c:f>
              <c:numCache/>
            </c:numRef>
          </c:val>
        </c:ser>
        <c:axId val="1433426850"/>
        <c:axId val="1380343251"/>
      </c:bar3DChart>
      <c:catAx>
        <c:axId val="143342685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80343251"/>
      </c:catAx>
      <c:valAx>
        <c:axId val="1380343251"/>
        <c:scaling>
          <c:orientation val="minMax"/>
        </c:scaling>
        <c:delete val="0"/>
        <c:axPos val="b"/>
        <c:tickLblPos val="nextTo"/>
        <c:spPr>
          <a:ln>
            <a:noFill/>
          </a:ln>
        </c:spPr>
        <c:crossAx val="1433426850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Distribution of sources (IRAN)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clustered"/>
        <c:ser>
          <c:idx val="0"/>
          <c:order val="0"/>
          <c:cat>
            <c:strRef>
              <c:f>'Niloofar (graphs)'!$T$2:$T$15</c:f>
            </c:strRef>
          </c:cat>
          <c:val>
            <c:numRef>
              <c:f>'Niloofar (graphs)'!$U$2:$U$15</c:f>
              <c:numCache/>
            </c:numRef>
          </c:val>
        </c:ser>
        <c:axId val="1444769285"/>
        <c:axId val="533467106"/>
      </c:bar3DChart>
      <c:catAx>
        <c:axId val="144476928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33467106"/>
      </c:catAx>
      <c:valAx>
        <c:axId val="533467106"/>
        <c:scaling>
          <c:orientation val="minMax"/>
        </c:scaling>
        <c:delete val="0"/>
        <c:axPos val="b"/>
        <c:tickLblPos val="nextTo"/>
        <c:spPr>
          <a:ln>
            <a:noFill/>
          </a:ln>
        </c:spPr>
        <c:crossAx val="144476928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Distribution of sources (with count) (IRAN)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clustered"/>
        <c:ser>
          <c:idx val="0"/>
          <c:order val="0"/>
          <c:cat>
            <c:strRef>
              <c:f>'Niloofar (graphs)'!$V$1:$V$14</c:f>
            </c:strRef>
          </c:cat>
          <c:val>
            <c:numRef>
              <c:f>'Niloofar (graphs)'!$W$1:$W$14</c:f>
              <c:numCache/>
            </c:numRef>
          </c:val>
        </c:ser>
        <c:axId val="13713928"/>
        <c:axId val="604645436"/>
      </c:bar3DChart>
      <c:catAx>
        <c:axId val="1371392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04645436"/>
      </c:catAx>
      <c:valAx>
        <c:axId val="604645436"/>
        <c:scaling>
          <c:orientation val="minMax"/>
        </c:scaling>
        <c:delete val="0"/>
        <c:axPos val="b"/>
        <c:tickLblPos val="nextTo"/>
        <c:spPr>
          <a:ln>
            <a:noFill/>
          </a:ln>
        </c:spPr>
        <c:crossAx val="1371392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Distribution of sources (ASKA)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clustered"/>
        <c:ser>
          <c:idx val="0"/>
          <c:order val="0"/>
          <c:cat>
            <c:strRef>
              <c:f>'Niloofar (graphs)'!$X$2:$X$13</c:f>
            </c:strRef>
          </c:cat>
          <c:val>
            <c:numRef>
              <c:f>'Niloofar (graphs)'!$Y$2:$Y$13</c:f>
              <c:numCache/>
            </c:numRef>
          </c:val>
        </c:ser>
        <c:axId val="581954911"/>
        <c:axId val="581240141"/>
      </c:bar3DChart>
      <c:catAx>
        <c:axId val="58195491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81240141"/>
      </c:catAx>
      <c:valAx>
        <c:axId val="581240141"/>
        <c:scaling>
          <c:orientation val="minMax"/>
        </c:scaling>
        <c:delete val="0"/>
        <c:axPos val="b"/>
        <c:tickLblPos val="nextTo"/>
        <c:spPr>
          <a:ln>
            <a:noFill/>
          </a:ln>
        </c:spPr>
        <c:crossAx val="58195491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distribution of soiurces (with count) (ASKA)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clustered"/>
        <c:ser>
          <c:idx val="0"/>
          <c:order val="0"/>
          <c:cat>
            <c:strRef>
              <c:f>'Niloofar (graphs)'!$Z$2:$Z$13</c:f>
            </c:strRef>
          </c:cat>
          <c:val>
            <c:numRef>
              <c:f>'Niloofar (graphs)'!$AA$2:$AA$13</c:f>
              <c:numCache/>
            </c:numRef>
          </c:val>
        </c:ser>
        <c:axId val="2042946193"/>
        <c:axId val="1126427657"/>
      </c:bar3DChart>
      <c:catAx>
        <c:axId val="204294619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26427657"/>
      </c:catAx>
      <c:valAx>
        <c:axId val="1126427657"/>
        <c:scaling>
          <c:orientation val="minMax"/>
        </c:scaling>
        <c:delete val="0"/>
        <c:axPos val="b"/>
        <c:tickLblPos val="nextTo"/>
        <c:spPr>
          <a:ln>
            <a:noFill/>
          </a:ln>
        </c:spPr>
        <c:crossAx val="2042946193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10" Type="http://schemas.openxmlformats.org/officeDocument/2006/relationships/chart" Target="../charts/chart10.xml"/><Relationship Id="rId9" Type="http://schemas.openxmlformats.org/officeDocument/2006/relationships/chart" Target="../charts/chart9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_rels/drawing4.xml.rels><?xml version="1.0" encoding="UTF-8" standalone="yes"?><Relationships xmlns="http://schemas.openxmlformats.org/package/2006/relationships"><Relationship Id="rId20" Type="http://schemas.openxmlformats.org/officeDocument/2006/relationships/image" Target="../media/Chart30.png"/><Relationship Id="rId11" Type="http://schemas.openxmlformats.org/officeDocument/2006/relationships/image" Target="../media/Chart21.png"/><Relationship Id="rId10" Type="http://schemas.openxmlformats.org/officeDocument/2006/relationships/image" Target="../media/Chart20.png"/><Relationship Id="rId13" Type="http://schemas.openxmlformats.org/officeDocument/2006/relationships/image" Target="../media/Chart23.png"/><Relationship Id="rId12" Type="http://schemas.openxmlformats.org/officeDocument/2006/relationships/image" Target="../media/Chart22.png"/><Relationship Id="rId1" Type="http://schemas.openxmlformats.org/officeDocument/2006/relationships/image" Target="../media/Chart11.png"/><Relationship Id="rId2" Type="http://schemas.openxmlformats.org/officeDocument/2006/relationships/image" Target="../media/Chart12.png"/><Relationship Id="rId3" Type="http://schemas.openxmlformats.org/officeDocument/2006/relationships/image" Target="../media/Chart13.png"/><Relationship Id="rId4" Type="http://schemas.openxmlformats.org/officeDocument/2006/relationships/image" Target="../media/Chart14.png"/><Relationship Id="rId9" Type="http://schemas.openxmlformats.org/officeDocument/2006/relationships/image" Target="../media/Chart19.png"/><Relationship Id="rId15" Type="http://schemas.openxmlformats.org/officeDocument/2006/relationships/image" Target="../media/Chart25.png"/><Relationship Id="rId14" Type="http://schemas.openxmlformats.org/officeDocument/2006/relationships/image" Target="../media/Chart24.png"/><Relationship Id="rId17" Type="http://schemas.openxmlformats.org/officeDocument/2006/relationships/image" Target="../media/Chart27.png"/><Relationship Id="rId16" Type="http://schemas.openxmlformats.org/officeDocument/2006/relationships/image" Target="../media/Chart26.png"/><Relationship Id="rId5" Type="http://schemas.openxmlformats.org/officeDocument/2006/relationships/image" Target="../media/Chart15.png"/><Relationship Id="rId19" Type="http://schemas.openxmlformats.org/officeDocument/2006/relationships/image" Target="../media/Chart29.png"/><Relationship Id="rId6" Type="http://schemas.openxmlformats.org/officeDocument/2006/relationships/image" Target="../media/Chart16.png"/><Relationship Id="rId18" Type="http://schemas.openxmlformats.org/officeDocument/2006/relationships/image" Target="../media/Chart28.png"/><Relationship Id="rId7" Type="http://schemas.openxmlformats.org/officeDocument/2006/relationships/image" Target="../media/Chart17.png"/><Relationship Id="rId8" Type="http://schemas.openxmlformats.org/officeDocument/2006/relationships/image" Target="../media/Chart1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115175" cy="57721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28</xdr:row>
      <xdr:rowOff>190500</xdr:rowOff>
    </xdr:from>
    <xdr:ext cx="8067675" cy="49149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53</xdr:row>
      <xdr:rowOff>152400</xdr:rowOff>
    </xdr:from>
    <xdr:ext cx="8067675" cy="49815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0</xdr:colOff>
      <xdr:row>78</xdr:row>
      <xdr:rowOff>190500</xdr:rowOff>
    </xdr:from>
    <xdr:ext cx="8067675" cy="552450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7</xdr:col>
      <xdr:colOff>933450</xdr:colOff>
      <xdr:row>0</xdr:row>
      <xdr:rowOff>0</xdr:rowOff>
    </xdr:from>
    <xdr:ext cx="702945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7</xdr:col>
      <xdr:colOff>400050</xdr:colOff>
      <xdr:row>17</xdr:row>
      <xdr:rowOff>152400</xdr:rowOff>
    </xdr:from>
    <xdr:ext cx="7029450" cy="43338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8</xdr:col>
      <xdr:colOff>752475</xdr:colOff>
      <xdr:row>39</xdr:row>
      <xdr:rowOff>123825</xdr:rowOff>
    </xdr:from>
    <xdr:ext cx="5715000" cy="3533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8</xdr:col>
      <xdr:colOff>171450</xdr:colOff>
      <xdr:row>57</xdr:row>
      <xdr:rowOff>152400</xdr:rowOff>
    </xdr:from>
    <xdr:ext cx="6296025" cy="35337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14</xdr:col>
      <xdr:colOff>781050</xdr:colOff>
      <xdr:row>17</xdr:row>
      <xdr:rowOff>152400</xdr:rowOff>
    </xdr:from>
    <xdr:ext cx="5715000" cy="353377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14</xdr:col>
      <xdr:colOff>781050</xdr:colOff>
      <xdr:row>0</xdr:row>
      <xdr:rowOff>0</xdr:rowOff>
    </xdr:from>
    <xdr:ext cx="5715000" cy="3533775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19050</xdr:colOff>
      <xdr:row>6</xdr:row>
      <xdr:rowOff>0</xdr:rowOff>
    </xdr:from>
    <xdr:ext cx="6562725" cy="3533775"/>
    <xdr:pic>
      <xdr:nvPicPr>
        <xdr:cNvPr id="1537830568" name="Chart11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19050</xdr:colOff>
      <xdr:row>24</xdr:row>
      <xdr:rowOff>152400</xdr:rowOff>
    </xdr:from>
    <xdr:ext cx="6562725" cy="3533775"/>
    <xdr:pic>
      <xdr:nvPicPr>
        <xdr:cNvPr id="285158443" name="Chart12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</xdr:colOff>
      <xdr:row>6</xdr:row>
      <xdr:rowOff>0</xdr:rowOff>
    </xdr:from>
    <xdr:ext cx="6886575" cy="6619875"/>
    <xdr:pic>
      <xdr:nvPicPr>
        <xdr:cNvPr id="1487149089" name="Chart13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600075</xdr:colOff>
      <xdr:row>42</xdr:row>
      <xdr:rowOff>114300</xdr:rowOff>
    </xdr:from>
    <xdr:ext cx="7848600" cy="6362700"/>
    <xdr:pic>
      <xdr:nvPicPr>
        <xdr:cNvPr id="2024595106" name="Chart14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9525</xdr:colOff>
      <xdr:row>7</xdr:row>
      <xdr:rowOff>0</xdr:rowOff>
    </xdr:from>
    <xdr:ext cx="7143750" cy="3162300"/>
    <xdr:pic>
      <xdr:nvPicPr>
        <xdr:cNvPr id="1650891627" name="Chart15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952500</xdr:colOff>
      <xdr:row>23</xdr:row>
      <xdr:rowOff>85725</xdr:rowOff>
    </xdr:from>
    <xdr:ext cx="7191375" cy="2905125"/>
    <xdr:pic>
      <xdr:nvPicPr>
        <xdr:cNvPr id="1872764344" name="Chart16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209550</xdr:colOff>
      <xdr:row>42</xdr:row>
      <xdr:rowOff>161925</xdr:rowOff>
    </xdr:from>
    <xdr:ext cx="7143750" cy="3600450"/>
    <xdr:pic>
      <xdr:nvPicPr>
        <xdr:cNvPr id="62764880" name="Chart17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209550</xdr:colOff>
      <xdr:row>61</xdr:row>
      <xdr:rowOff>28575</xdr:rowOff>
    </xdr:from>
    <xdr:ext cx="7143750" cy="3409950"/>
    <xdr:pic>
      <xdr:nvPicPr>
        <xdr:cNvPr id="922565634" name="Chart18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952500</xdr:colOff>
      <xdr:row>39</xdr:row>
      <xdr:rowOff>190500</xdr:rowOff>
    </xdr:from>
    <xdr:ext cx="6886575" cy="2524125"/>
    <xdr:pic>
      <xdr:nvPicPr>
        <xdr:cNvPr id="1467029374" name="Chart19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952500</xdr:colOff>
      <xdr:row>53</xdr:row>
      <xdr:rowOff>76200</xdr:rowOff>
    </xdr:from>
    <xdr:ext cx="6886575" cy="2819400"/>
    <xdr:pic>
      <xdr:nvPicPr>
        <xdr:cNvPr id="1363805906" name="Chart20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</xdr:colOff>
      <xdr:row>85</xdr:row>
      <xdr:rowOff>0</xdr:rowOff>
    </xdr:from>
    <xdr:ext cx="6886575" cy="6619875"/>
    <xdr:pic>
      <xdr:nvPicPr>
        <xdr:cNvPr id="402864080" name="Chart21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19050</xdr:colOff>
      <xdr:row>85</xdr:row>
      <xdr:rowOff>0</xdr:rowOff>
    </xdr:from>
    <xdr:ext cx="6562725" cy="3533775"/>
    <xdr:pic>
      <xdr:nvPicPr>
        <xdr:cNvPr id="814793572" name="Chart22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19050</xdr:colOff>
      <xdr:row>103</xdr:row>
      <xdr:rowOff>152400</xdr:rowOff>
    </xdr:from>
    <xdr:ext cx="6562725" cy="3533775"/>
    <xdr:pic>
      <xdr:nvPicPr>
        <xdr:cNvPr id="1993514318" name="Chart23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9525</xdr:colOff>
      <xdr:row>86</xdr:row>
      <xdr:rowOff>0</xdr:rowOff>
    </xdr:from>
    <xdr:ext cx="7143750" cy="3162300"/>
    <xdr:pic>
      <xdr:nvPicPr>
        <xdr:cNvPr id="609349415" name="Chart24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952500</xdr:colOff>
      <xdr:row>102</xdr:row>
      <xdr:rowOff>85725</xdr:rowOff>
    </xdr:from>
    <xdr:ext cx="7191375" cy="2905125"/>
    <xdr:pic>
      <xdr:nvPicPr>
        <xdr:cNvPr id="2060811903" name="Chart25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952500</xdr:colOff>
      <xdr:row>118</xdr:row>
      <xdr:rowOff>190500</xdr:rowOff>
    </xdr:from>
    <xdr:ext cx="6886575" cy="2524125"/>
    <xdr:pic>
      <xdr:nvPicPr>
        <xdr:cNvPr id="1822047981" name="Chart26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171450</xdr:colOff>
      <xdr:row>121</xdr:row>
      <xdr:rowOff>161925</xdr:rowOff>
    </xdr:from>
    <xdr:ext cx="7143750" cy="3600450"/>
    <xdr:pic>
      <xdr:nvPicPr>
        <xdr:cNvPr id="1869758960" name="Chart27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600075</xdr:colOff>
      <xdr:row>121</xdr:row>
      <xdr:rowOff>114300</xdr:rowOff>
    </xdr:from>
    <xdr:ext cx="7848600" cy="6362700"/>
    <xdr:pic>
      <xdr:nvPicPr>
        <xdr:cNvPr id="155909595" name="Chart28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209550</xdr:colOff>
      <xdr:row>140</xdr:row>
      <xdr:rowOff>28575</xdr:rowOff>
    </xdr:from>
    <xdr:ext cx="7143750" cy="3409950"/>
    <xdr:pic>
      <xdr:nvPicPr>
        <xdr:cNvPr id="1698824402" name="Chart29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85725</xdr:colOff>
      <xdr:row>133</xdr:row>
      <xdr:rowOff>123825</xdr:rowOff>
    </xdr:from>
    <xdr:ext cx="6886575" cy="2819400"/>
    <xdr:pic>
      <xdr:nvPicPr>
        <xdr:cNvPr id="852303747" name="Chart30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people.com/" TargetMode="External"/><Relationship Id="rId2" Type="http://schemas.openxmlformats.org/officeDocument/2006/relationships/hyperlink" Target="http://pbs.org/" TargetMode="External"/><Relationship Id="rId3" Type="http://schemas.openxmlformats.org/officeDocument/2006/relationships/hyperlink" Target="http://congress.gov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sfgate.com/bayarea/article/tsa-passenger-data-ice-sfo-22095809.php?utm_source=chatgpt.com" TargetMode="External"/><Relationship Id="rId190" Type="http://schemas.openxmlformats.org/officeDocument/2006/relationships/hyperlink" Target="https://www.aljazeera.com/news/2026/1/12/what-we-know-about-the-protests-sweeping-iran?utm_source=chatgpt.com" TargetMode="External"/><Relationship Id="rId42" Type="http://schemas.openxmlformats.org/officeDocument/2006/relationships/hyperlink" Target="https://www.amnesty.org/en/latest/campaigns/2026/01/what-happened-at-the-protests-in-iran/?utm_source=chatgpt.com" TargetMode="External"/><Relationship Id="rId41" Type="http://schemas.openxmlformats.org/officeDocument/2006/relationships/hyperlink" Target="https://www.britannica.com/event/2026-Iranian-Protests?utm_source=chatgpt.com" TargetMode="External"/><Relationship Id="rId44" Type="http://schemas.openxmlformats.org/officeDocument/2006/relationships/hyperlink" Target="https://en.wikipedia.org/wiki/2025_Iranian_protests?utm_source=chatgpt.com" TargetMode="External"/><Relationship Id="rId194" Type="http://schemas.openxmlformats.org/officeDocument/2006/relationships/hyperlink" Target="https://www.realinstitutoelcano.org/en/analyses/irans-2025-26-protests-resilience-and-political-containment/" TargetMode="External"/><Relationship Id="rId43" Type="http://schemas.openxmlformats.org/officeDocument/2006/relationships/hyperlink" Target="https://en.wikipedia.org/wiki/2025%E2%80%932026_Iranian_protests?utm_source=chatgpt.com" TargetMode="External"/><Relationship Id="rId193" Type="http://schemas.openxmlformats.org/officeDocument/2006/relationships/hyperlink" Target="https://www.stimson.org/2026/why-the-latest-iran-protests-started-in-the-tehran-bazaar/" TargetMode="External"/><Relationship Id="rId46" Type="http://schemas.openxmlformats.org/officeDocument/2006/relationships/hyperlink" Target="https://www.amnesty.org/en/latest/campaigns/2026/01/what-happened-at-the-protests-in-iran/?utm_source=chatgpt.com" TargetMode="External"/><Relationship Id="rId192" Type="http://schemas.openxmlformats.org/officeDocument/2006/relationships/hyperlink" Target="https://www.amnesty.org/en/latest/campaigns/2026/01/what-happened-at-the-protests-in-iran/" TargetMode="External"/><Relationship Id="rId45" Type="http://schemas.openxmlformats.org/officeDocument/2006/relationships/hyperlink" Target="https://www.aljazeera.com/news/2026/1/12/what-we-know-about-the-protests-sweeping-iran?utm_source=chatgpt.com" TargetMode="External"/><Relationship Id="rId191" Type="http://schemas.openxmlformats.org/officeDocument/2006/relationships/hyperlink" Target="https://thesoufancenter.org/intelbrief-2026-january-7/" TargetMode="External"/><Relationship Id="rId48" Type="http://schemas.openxmlformats.org/officeDocument/2006/relationships/hyperlink" Target="https://en.wikipedia.org/wiki/2025%E2%80%932026_Iranian_protests?utm_source=chatgpt.com" TargetMode="External"/><Relationship Id="rId187" Type="http://schemas.openxmlformats.org/officeDocument/2006/relationships/hyperlink" Target="https://www.naacpldf.org/case-issue/challenging-state-violence-authoritarianism/" TargetMode="External"/><Relationship Id="rId47" Type="http://schemas.openxmlformats.org/officeDocument/2006/relationships/hyperlink" Target="https://www.aljazeera.com/news/2026/1/12/what-we-know-about-the-protests-sweeping-iran?utm_source=chatgpt.com" TargetMode="External"/><Relationship Id="rId186" Type="http://schemas.openxmlformats.org/officeDocument/2006/relationships/hyperlink" Target="https://www.theguardian.com/us-news/2026/jan/17/minneapolis-twin-cities-ice-dispatch" TargetMode="External"/><Relationship Id="rId185" Type="http://schemas.openxmlformats.org/officeDocument/2006/relationships/hyperlink" Target="https://www.themarshallproject.org/2026/02/04/ice-immigration-intimidation-tactics-protesters" TargetMode="External"/><Relationship Id="rId49" Type="http://schemas.openxmlformats.org/officeDocument/2006/relationships/hyperlink" Target="https://www.reuters.com/world/middle-east/iran-says-it-is-implementing-sentences-against-convicted-january-protesters-2026-03-23/?utm_source=chatgpt.com" TargetMode="External"/><Relationship Id="rId184" Type="http://schemas.openxmlformats.org/officeDocument/2006/relationships/hyperlink" Target="https://en.wikipedia.org/wiki/January_30,_2026_protests_against_ICE" TargetMode="External"/><Relationship Id="rId189" Type="http://schemas.openxmlformats.org/officeDocument/2006/relationships/hyperlink" Target="https://nssa.byu.edu/irans-2025-2026-uprisings-and-the-legitimacy-crisis-of-the-islamic-republic" TargetMode="External"/><Relationship Id="rId188" Type="http://schemas.openxmlformats.org/officeDocument/2006/relationships/hyperlink" Target="https://en.wikipedia.org/wiki/2025%E2%80%932026_Iranian_protests" TargetMode="External"/><Relationship Id="rId31" Type="http://schemas.openxmlformats.org/officeDocument/2006/relationships/hyperlink" Target="https://www.theguardian.com/us-news/2026/jan/31/anti-ice-protests-weekend?utm_source=chatgpt.com" TargetMode="External"/><Relationship Id="rId30" Type="http://schemas.openxmlformats.org/officeDocument/2006/relationships/hyperlink" Target="https://en.wikipedia.org/wiki/January_30%2C_2026_protests_against_ICE?utm_source=chatgpt.com" TargetMode="External"/><Relationship Id="rId33" Type="http://schemas.openxmlformats.org/officeDocument/2006/relationships/hyperlink" Target="https://www.washingtonpost.com/ripple/2026/02/02/minneapolis-ice-watch-protests-defend-612/?utm_source=chatgpt.com" TargetMode="External"/><Relationship Id="rId183" Type="http://schemas.openxmlformats.org/officeDocument/2006/relationships/hyperlink" Target="https://www.lwv.org/blog/whats-happening-ice-and-how-fight-back" TargetMode="External"/><Relationship Id="rId32" Type="http://schemas.openxmlformats.org/officeDocument/2006/relationships/hyperlink" Target="https://www.theguardian.com/us-news/2026/jan/29/ice-out-strike-protests-explained?utm_source=chatgpt.com" TargetMode="External"/><Relationship Id="rId182" Type="http://schemas.openxmlformats.org/officeDocument/2006/relationships/hyperlink" Target="https://www.realinstitutoelcano.org/en/commentaries/ice-is-not-welcome-urban-raids-capacity-and-the-politics-of-us-immigration-enforcement/" TargetMode="External"/><Relationship Id="rId35" Type="http://schemas.openxmlformats.org/officeDocument/2006/relationships/hyperlink" Target="https://www.foxnews.com/us/anti-ice-mob-storms-minnesota-church-over-pastors-alleged-ties-immigration-enforcement?utm_source=chatgpt.com" TargetMode="External"/><Relationship Id="rId181" Type="http://schemas.openxmlformats.org/officeDocument/2006/relationships/hyperlink" Target="https://www.realinstitutoelcano.org/en/commentaries/ice-is-not-welcome-urban-raids-capacity-and-the-politics-of-us-immigration-enforcement/" TargetMode="External"/><Relationship Id="rId34" Type="http://schemas.openxmlformats.org/officeDocument/2006/relationships/hyperlink" Target="https://en.wikipedia.org/wiki/2026_Anti-ICE_Protests_in_the_United_States?utm_source=chatgpt.com" TargetMode="External"/><Relationship Id="rId180" Type="http://schemas.openxmlformats.org/officeDocument/2006/relationships/hyperlink" Target="https://www.npr.org/2026/01/31/nx-s1-5695221/anti-ice-protesters-call-for-national-action-against-federal-immigration-tactics" TargetMode="External"/><Relationship Id="rId37" Type="http://schemas.openxmlformats.org/officeDocument/2006/relationships/hyperlink" Target="https://en.wikipedia.org/wiki/2026_Anti-ICE_Protests_in_the_United_States?utm_source=chatgpt.com" TargetMode="External"/><Relationship Id="rId176" Type="http://schemas.openxmlformats.org/officeDocument/2006/relationships/hyperlink" Target="https://en.wikipedia.org/wiki/Operation_Metro_Surge" TargetMode="External"/><Relationship Id="rId297" Type="http://schemas.openxmlformats.org/officeDocument/2006/relationships/hyperlink" Target="https://www.dailymail.co.uk/news/article-15519647/More-100-police-injured-left-wing-supporters-riots-Turin-closure-cultural-centre.html" TargetMode="External"/><Relationship Id="rId36" Type="http://schemas.openxmlformats.org/officeDocument/2006/relationships/hyperlink" Target="https://www.theguardian.com/us-news/2026/jan/29/ice-out-strike-protests-explained?utm_source=chatgpt.com" TargetMode="External"/><Relationship Id="rId175" Type="http://schemas.openxmlformats.org/officeDocument/2006/relationships/hyperlink" Target="https://en.wikipedia.org/wiki/January_23,_2026_Minnesota_protests_against_ICE" TargetMode="External"/><Relationship Id="rId296" Type="http://schemas.openxmlformats.org/officeDocument/2006/relationships/hyperlink" Target="https://peoplesdispatch.org/2026/02/02/partisan-turin-rises-against-militarization-and-repression/" TargetMode="External"/><Relationship Id="rId39" Type="http://schemas.openxmlformats.org/officeDocument/2006/relationships/hyperlink" Target="https://www.theguardian.com/us-news/2026/mar/20/los-angeles-ice-protest-eye-lapd?utm_source=chatgpt.com" TargetMode="External"/><Relationship Id="rId174" Type="http://schemas.openxmlformats.org/officeDocument/2006/relationships/hyperlink" Target="https://en.wikipedia.org/wiki/January_30,_2026_protests_against_ICE" TargetMode="External"/><Relationship Id="rId295" Type="http://schemas.openxmlformats.org/officeDocument/2006/relationships/hyperlink" Target="https://www.aa.com.tr/en/europe/italian-government-to-meet-after-clashes-in-turin-injure-over-100-officers/3816965" TargetMode="External"/><Relationship Id="rId38" Type="http://schemas.openxmlformats.org/officeDocument/2006/relationships/hyperlink" Target="https://www.minneapolismn.gov/news/2026/january/ag-lawsuit/?utm_source=chatgpt.com" TargetMode="External"/><Relationship Id="rId173" Type="http://schemas.openxmlformats.org/officeDocument/2006/relationships/hyperlink" Target="https://www.politico.com/news/2026/01/10/anti-ice-protesters-assemble-across-the-us-after-shootings-in-minneapolis-and-portland-oregon-00721209" TargetMode="External"/><Relationship Id="rId294" Type="http://schemas.openxmlformats.org/officeDocument/2006/relationships/hyperlink" Target="https://www.unionesarda.it/en/italy/guerrilla-fighting-over-askatasuna-in-turin-leaves-31-officers-injured-after-one-officer-was-kicked-in-the-head-and-hammered-f5gi6uld" TargetMode="External"/><Relationship Id="rId179" Type="http://schemas.openxmlformats.org/officeDocument/2006/relationships/hyperlink" Target="https://www.nytimes.com/2026/01/14/us/ice-protests-activism.html" TargetMode="External"/><Relationship Id="rId178" Type="http://schemas.openxmlformats.org/officeDocument/2006/relationships/hyperlink" Target="https://www.theguardian.com/us-news/2026/jan/31/anti-ice-protests-weekend" TargetMode="External"/><Relationship Id="rId299" Type="http://schemas.openxmlformats.org/officeDocument/2006/relationships/drawing" Target="../drawings/drawing3.xml"/><Relationship Id="rId177" Type="http://schemas.openxmlformats.org/officeDocument/2006/relationships/hyperlink" Target="https://www.theguardian.com/us-news/2026/jan/29/ice-out-strike-protests-explained" TargetMode="External"/><Relationship Id="rId298" Type="http://schemas.openxmlformats.org/officeDocument/2006/relationships/hyperlink" Target="https://freedomnews.org.uk/2026/02/01/turin-50000-protest-askatasuna-eviction/" TargetMode="External"/><Relationship Id="rId20" Type="http://schemas.openxmlformats.org/officeDocument/2006/relationships/hyperlink" Target="https://en.wikipedia.org/wiki/2026_Anti-ICE_Protests_in_the_United_States?utm_source=chatgpt.com" TargetMode="External"/><Relationship Id="rId22" Type="http://schemas.openxmlformats.org/officeDocument/2006/relationships/hyperlink" Target="https://www.reuters.com/world/us/nationwide-protests-walkouts-planned-over-fatal-ice-shootings-minneapolis-2026-01-30/?utm_source=chatgpt.com" TargetMode="External"/><Relationship Id="rId21" Type="http://schemas.openxmlformats.org/officeDocument/2006/relationships/hyperlink" Target="https://en.wikipedia.org/wiki/January_30%2C_2026_protests_against_ICE?utm_source=chatgpt.com" TargetMode="External"/><Relationship Id="rId24" Type="http://schemas.openxmlformats.org/officeDocument/2006/relationships/hyperlink" Target="https://www.democracynow.org/2026/2/2/headlines/more_than_300_anti_ice_protests_held_across_the_country?utm_source=chatgpt.com" TargetMode="External"/><Relationship Id="rId23" Type="http://schemas.openxmlformats.org/officeDocument/2006/relationships/hyperlink" Target="https://www.theguardian.com/us-news/2026/jan/31/anti-ice-protests-weekend?utm_source=chatgpt.com" TargetMode="External"/><Relationship Id="rId26" Type="http://schemas.openxmlformats.org/officeDocument/2006/relationships/hyperlink" Target="https://en.wikipedia.org/wiki/January_30%2C_2026_protests_against_ICE?utm_source=chatgpt.com" TargetMode="External"/><Relationship Id="rId25" Type="http://schemas.openxmlformats.org/officeDocument/2006/relationships/hyperlink" Target="https://en.wikipedia.org/wiki/2026_Anti-ICE_Protests_in_the_United_States?utm_source=chatgpt.com" TargetMode="External"/><Relationship Id="rId28" Type="http://schemas.openxmlformats.org/officeDocument/2006/relationships/hyperlink" Target="https://abcnews.com/US/anti-ice-protests-place-nationwide-fatal-shootings-minneapolis/story?id=129670048&amp;utm_source=chatgpt.com" TargetMode="External"/><Relationship Id="rId27" Type="http://schemas.openxmlformats.org/officeDocument/2006/relationships/hyperlink" Target="https://en.wikipedia.org/wiki/ICE_Out?utm_source=chatgpt.com" TargetMode="External"/><Relationship Id="rId29" Type="http://schemas.openxmlformats.org/officeDocument/2006/relationships/hyperlink" Target="https://www.theguardian.com/us-news/2026/jan/31/anti-ice-protests-weekend?utm_source=chatgpt.com" TargetMode="External"/><Relationship Id="rId11" Type="http://schemas.openxmlformats.org/officeDocument/2006/relationships/hyperlink" Target="https://www.wunc.org/term/news/2026-01-10/anti-ice-protesters-durham-after-shootings-minneapolis?utm_source=chatgpt.com" TargetMode="External"/><Relationship Id="rId10" Type="http://schemas.openxmlformats.org/officeDocument/2006/relationships/hyperlink" Target="https://www.theguardian.com/us-news/2026/jan/28/third-no-kings-protest-march-minnesota-ice?utm_source=chatgpt.com" TargetMode="External"/><Relationship Id="rId13" Type="http://schemas.openxmlformats.org/officeDocument/2006/relationships/hyperlink" Target="https://www.youtube.com/watch?v=suSs4jVxrbI&amp;utm_source=chatgpt.com" TargetMode="External"/><Relationship Id="rId12" Type="http://schemas.openxmlformats.org/officeDocument/2006/relationships/hyperlink" Target="https://en.wikipedia.org/wiki/2026_Anti-ICE_Protests_in_the_United_States?utm_source=chatgpt.com" TargetMode="External"/><Relationship Id="rId15" Type="http://schemas.openxmlformats.org/officeDocument/2006/relationships/hyperlink" Target="https://en.wikipedia.org/wiki/January_30%2C_2026_protests_against_ICE?utm_source=chatgpt.com" TargetMode="External"/><Relationship Id="rId198" Type="http://schemas.openxmlformats.org/officeDocument/2006/relationships/hyperlink" Target="https://wpiran.org/english/a-summary-of-the-december-2025-january-2026-uprising-in-iran/" TargetMode="External"/><Relationship Id="rId14" Type="http://schemas.openxmlformats.org/officeDocument/2006/relationships/hyperlink" Target="https://en.wikipedia.org/wiki/2026_Anti-ICE_Protests_in_the_United_States?utm_source=chatgpt.com" TargetMode="External"/><Relationship Id="rId197" Type="http://schemas.openxmlformats.org/officeDocument/2006/relationships/hyperlink" Target="https://www.amnesty.org/en/latest/campaigns/2026/01/what-happened-at-the-protests-in-iran/" TargetMode="External"/><Relationship Id="rId17" Type="http://schemas.openxmlformats.org/officeDocument/2006/relationships/hyperlink" Target="https://www.euronews.com/video/2026/01/31/thousands-march-across-us-cities-during-anti-ice-strike?utm_source=chatgpt.com" TargetMode="External"/><Relationship Id="rId196" Type="http://schemas.openxmlformats.org/officeDocument/2006/relationships/hyperlink" Target="https://nssa.byu.edu/irans-2025-2026-uprisings-and-the-legitimacy-crisis-of-the-islamic-republic" TargetMode="External"/><Relationship Id="rId16" Type="http://schemas.openxmlformats.org/officeDocument/2006/relationships/hyperlink" Target="https://www.reuters.com/world/us/nationwide-protests-walkouts-planned-over-fatal-ice-shootings-minneapolis-2026-01-30/?utm_source=chatgpt.com" TargetMode="External"/><Relationship Id="rId195" Type="http://schemas.openxmlformats.org/officeDocument/2006/relationships/hyperlink" Target="https://en.wikipedia.org/wiki/2025%E2%80%932026_Iranian_protests" TargetMode="External"/><Relationship Id="rId19" Type="http://schemas.openxmlformats.org/officeDocument/2006/relationships/hyperlink" Target="https://www.theguardian.com/us-news/2026/mar/20/los-angeles-ice-protest-eye-lapd?utm_source=chatgpt.com" TargetMode="External"/><Relationship Id="rId18" Type="http://schemas.openxmlformats.org/officeDocument/2006/relationships/hyperlink" Target="https://www.democracynow.org/2026/2/2/headlines/more_than_300_anti_ice_protests_held_across_the_country?utm_source=chatgpt.com" TargetMode="External"/><Relationship Id="rId199" Type="http://schemas.openxmlformats.org/officeDocument/2006/relationships/hyperlink" Target="https://lens.civicus.org/iran-revolt-crushed-but-crisis-unresolved/" TargetMode="External"/><Relationship Id="rId84" Type="http://schemas.openxmlformats.org/officeDocument/2006/relationships/hyperlink" Target="https://www.britannica.com/event/2026-Iranian-Protests?utm_source=chatgpt.com" TargetMode="External"/><Relationship Id="rId83" Type="http://schemas.openxmlformats.org/officeDocument/2006/relationships/hyperlink" Target="https://www.amnesty.org/en/latest/news/2026/01/internet-shutdown-in-iran-hides-violations-in-escalating-protests/?utm_source=chatgpt.com" TargetMode="External"/><Relationship Id="rId86" Type="http://schemas.openxmlformats.org/officeDocument/2006/relationships/hyperlink" Target="https://apnews.com/article/899cffa851d2c87f1feefd561ee9bde3?utm_source=chatgpt.com" TargetMode="External"/><Relationship Id="rId85" Type="http://schemas.openxmlformats.org/officeDocument/2006/relationships/hyperlink" Target="https://www.washingtonpost.com/opinions/2026/03/25/iran-islamic-republic-protests-executions/?utm_source=chatgpt.com" TargetMode="External"/><Relationship Id="rId88" Type="http://schemas.openxmlformats.org/officeDocument/2006/relationships/hyperlink" Target="https://www.lemonde.fr/en/international/article/2026/02/10/meloni-tightens-security-policy-as-political-tensions-grip-italy_6750359_4.html?utm_source=chatgpt.com" TargetMode="External"/><Relationship Id="rId150" Type="http://schemas.openxmlformats.org/officeDocument/2006/relationships/hyperlink" Target="https://en.wikipedia.org/wiki/January_30,_2026_protests_against_ICE" TargetMode="External"/><Relationship Id="rId271" Type="http://schemas.openxmlformats.org/officeDocument/2006/relationships/hyperlink" Target="https://www.vittimeterrorismo.it/manifestazione-del-31-gennaio-2026-di-askatasuna-a-torino/" TargetMode="External"/><Relationship Id="rId87" Type="http://schemas.openxmlformats.org/officeDocument/2006/relationships/hyperlink" Target="https://it.wikipedia.org/wiki/Askatasuna_%28centro_sociale%29?utm_source=chatgpt.com" TargetMode="External"/><Relationship Id="rId270" Type="http://schemas.openxmlformats.org/officeDocument/2006/relationships/hyperlink" Target="https://www.rainews.it/tgr/piemonte/maratona/2026/01/corteo-per-askatasuna-la-diretta-ad64103d-e326-4623-a7e5-f4ecb7804b7f.html" TargetMode="External"/><Relationship Id="rId89" Type="http://schemas.openxmlformats.org/officeDocument/2006/relationships/hyperlink" Target="https://peoplesdispatch.org/2026/02/02/partisan-turin-rises-against-militarization-and-repression/?utm_source=chatgpt.com" TargetMode="External"/><Relationship Id="rId80" Type="http://schemas.openxmlformats.org/officeDocument/2006/relationships/hyperlink" Target="https://www.amnesty.org/en/latest/campaigns/2026/01/what-happened-at-the-protests-in-iran/?utm_source=chatgpt.com" TargetMode="External"/><Relationship Id="rId82" Type="http://schemas.openxmlformats.org/officeDocument/2006/relationships/hyperlink" Target="https://www.amnesty.org/en/latest/news/2026/01/iran-deaths-injuries-authorities-protest-bloodshed/?utm_source=chatgpt.com" TargetMode="External"/><Relationship Id="rId81" Type="http://schemas.openxmlformats.org/officeDocument/2006/relationships/hyperlink" Target="https://www.amnesty.org/en/latest/campaigns/2026/01/what-happened-at-the-protests-in-iran/?utm_source=chatgpt.com" TargetMode="External"/><Relationship Id="rId1" Type="http://schemas.openxmlformats.org/officeDocument/2006/relationships/hyperlink" Target="https://en.wikipedia.org/wiki/2026_Anti-ICE_Protests_in_the_United_States?utm_source=chatgpt.com" TargetMode="External"/><Relationship Id="rId2" Type="http://schemas.openxmlformats.org/officeDocument/2006/relationships/hyperlink" Target="https://en.wikipedia.org/wiki/January_30%2C_2026_protests_against_ICE?utm_source=chatgpt.com" TargetMode="External"/><Relationship Id="rId3" Type="http://schemas.openxmlformats.org/officeDocument/2006/relationships/hyperlink" Target="https://www.reuters.com/world/us/nationwide-protests-walkouts-planned-over-fatal-ice-shootings-minneapolis-2026-01-30/?utm_source=chatgpt.com" TargetMode="External"/><Relationship Id="rId149" Type="http://schemas.openxmlformats.org/officeDocument/2006/relationships/hyperlink" Target="https://www.reutersconnect.com/item/ice-crackdown-2026-washington-dc-anti-ice-protest/dGFnOnJldXRlcnMuY29tLDIwMjY6bmV3c21sX01UMVpVTUEwMDA2VU9XNDk" TargetMode="External"/><Relationship Id="rId4" Type="http://schemas.openxmlformats.org/officeDocument/2006/relationships/hyperlink" Target="https://www.democracynow.org/2026/2/2/headlines/more_than_300_anti_ice_protests_held_across_the_country?utm_source=chatgpt.com" TargetMode="External"/><Relationship Id="rId148" Type="http://schemas.openxmlformats.org/officeDocument/2006/relationships/hyperlink" Target="https://www.cnn.com/us/live-news/minneapolis-ice-shooting-immigration-crackdown-01-10-26" TargetMode="External"/><Relationship Id="rId269" Type="http://schemas.openxmlformats.org/officeDocument/2006/relationships/hyperlink" Target="https://www.rainews.it/maratona/2026/01/askatasuna-in-migliaia-da-tutta-italia-davanti-a-ateneo-occupato-a-torino-3d3cf8f2-7e2a-46b8-895d-53001bc431ed.html" TargetMode="External"/><Relationship Id="rId9" Type="http://schemas.openxmlformats.org/officeDocument/2006/relationships/hyperlink" Target="https://www.democracynow.org/2026/2/2/headlines/more_than_300_anti_ice_protests_held_across_the_country?utm_source=chatgpt.com" TargetMode="External"/><Relationship Id="rId143" Type="http://schemas.openxmlformats.org/officeDocument/2006/relationships/hyperlink" Target="https://en.wikipedia.org/wiki/January_30,_2026_protests_against_ICE" TargetMode="External"/><Relationship Id="rId264" Type="http://schemas.openxmlformats.org/officeDocument/2006/relationships/hyperlink" Target="https://www.dailymail.co.uk/news/article-15519647/More-100-police-injured-left-wing-supporters-riots-Turin-closure-cultural-centre.html" TargetMode="External"/><Relationship Id="rId142" Type="http://schemas.openxmlformats.org/officeDocument/2006/relationships/hyperlink" Target="https://labornotes.org/2026/01/twin-cities-massive-strike-against-ice" TargetMode="External"/><Relationship Id="rId263" Type="http://schemas.openxmlformats.org/officeDocument/2006/relationships/hyperlink" Target="https://en.ilsole24ore.com/art/turin-via-two-processions-the-askatasuna-social-centre-AIgzFzAB" TargetMode="External"/><Relationship Id="rId141" Type="http://schemas.openxmlformats.org/officeDocument/2006/relationships/hyperlink" Target="https://www.nytimes.com/live/2026/01/30/us/minnesota-ice-protests-minneapolis" TargetMode="External"/><Relationship Id="rId262" Type="http://schemas.openxmlformats.org/officeDocument/2006/relationships/hyperlink" Target="https://crimethinc.com/2026/02/07/basic-banalities-concerning-the-january-31-demonstration-in-turin-reflections-on-a-night-of-street-fighting-in-italy" TargetMode="External"/><Relationship Id="rId140" Type="http://schemas.openxmlformats.org/officeDocument/2006/relationships/hyperlink" Target="https://www.reuters.com/world/us/nationwide-protests-walkouts-planned-over-fatal-ice-shootings-minneapolis-2026-01-30/?utm_source=chatgpt.com" TargetMode="External"/><Relationship Id="rId261" Type="http://schemas.openxmlformats.org/officeDocument/2006/relationships/hyperlink" Target="https://www.foxnews.com/world/italy-rocked-anarchist-led-riots-over-100-police-injured-meloni-condemns-violence" TargetMode="External"/><Relationship Id="rId5" Type="http://schemas.openxmlformats.org/officeDocument/2006/relationships/hyperlink" Target="https://www.theguardian.com/us-news/2026/jan/31/anti-ice-protests-weekend?utm_source=chatgpt.com" TargetMode="External"/><Relationship Id="rId147" Type="http://schemas.openxmlformats.org/officeDocument/2006/relationships/hyperlink" Target="https://www.theguardian.com/us-news/2026/jan/31/anti-ice-protests-weekend" TargetMode="External"/><Relationship Id="rId268" Type="http://schemas.openxmlformats.org/officeDocument/2006/relationships/hyperlink" Target="https://www.lastampa.it/torino/2026/01/31/news/corteo_askatasuna_meloni_centri_sociali-15489588/" TargetMode="External"/><Relationship Id="rId6" Type="http://schemas.openxmlformats.org/officeDocument/2006/relationships/hyperlink" Target="https://en.wikipedia.org/wiki/2026_Anti-ICE_Protests_in_the_United_States?utm_source=chatgpt.com" TargetMode="External"/><Relationship Id="rId146" Type="http://schemas.openxmlformats.org/officeDocument/2006/relationships/hyperlink" Target="https://en.wikipedia.org/wiki/Protests_against_mass_deportation_during_the_second_Trump_administration" TargetMode="External"/><Relationship Id="rId267" Type="http://schemas.openxmlformats.org/officeDocument/2006/relationships/hyperlink" Target="https://www.doppiozero.com/askatasuna-voci-da-torino-31-gennaio-2026" TargetMode="External"/><Relationship Id="rId7" Type="http://schemas.openxmlformats.org/officeDocument/2006/relationships/hyperlink" Target="https://en.wikipedia.org/wiki/January_30%2C_2026_protests_against_ICE?utm_source=chatgpt.com" TargetMode="External"/><Relationship Id="rId145" Type="http://schemas.openxmlformats.org/officeDocument/2006/relationships/hyperlink" Target="https://en.wikipedia.org/wiki/January_23,_2026_Minnesota_protests_against_ICE" TargetMode="External"/><Relationship Id="rId266" Type="http://schemas.openxmlformats.org/officeDocument/2006/relationships/hyperlink" Target="https://www.foxnews.com/world/italy-rocked-anarchist-led-riots-over-100-police-injured-meloni-condemns-violence" TargetMode="External"/><Relationship Id="rId8" Type="http://schemas.openxmlformats.org/officeDocument/2006/relationships/hyperlink" Target="https://en.wikipedia.org/wiki/ICE_Out?utm_source=chatgpt.com" TargetMode="External"/><Relationship Id="rId144" Type="http://schemas.openxmlformats.org/officeDocument/2006/relationships/hyperlink" Target="https://en.wikipedia.org/wiki/2026_U.S._immigration_enforcement_protests" TargetMode="External"/><Relationship Id="rId265" Type="http://schemas.openxmlformats.org/officeDocument/2006/relationships/hyperlink" Target="https://freedomnews.org.uk/2026/02/01/turin-50000-protest-askatasuna-eviction/" TargetMode="External"/><Relationship Id="rId73" Type="http://schemas.openxmlformats.org/officeDocument/2006/relationships/hyperlink" Target="https://www.reuters.com/world/middle-east/iran-says-it-is-implementing-sentences-against-convicted-january-protesters-2026-03-23/?utm_source=chatgpt.com" TargetMode="External"/><Relationship Id="rId72" Type="http://schemas.openxmlformats.org/officeDocument/2006/relationships/hyperlink" Target="https://abcnews.go.com/International/iranian-protests-expand-economy-students-demand-freedom-end/story?id=128780906&amp;utm_source=chatgpt.com" TargetMode="External"/><Relationship Id="rId75" Type="http://schemas.openxmlformats.org/officeDocument/2006/relationships/hyperlink" Target="https://efe.com/en/latest-news/2025-12-29/protests-over-economic-deterioration-in-iran-spread-to-several-cities/?utm_source=chatgpt.com" TargetMode="External"/><Relationship Id="rId74" Type="http://schemas.openxmlformats.org/officeDocument/2006/relationships/hyperlink" Target="https://www.washingtonpost.com/opinions/2026/03/25/iran-islamic-republic-protests-executions/?utm_source=chatgpt.com" TargetMode="External"/><Relationship Id="rId77" Type="http://schemas.openxmlformats.org/officeDocument/2006/relationships/hyperlink" Target="https://www.hrw.org/news/2026/01/08/iran-authorities-renewed-cycle-of-protest-bloodshed?utm_source=chatgpt.com" TargetMode="External"/><Relationship Id="rId260" Type="http://schemas.openxmlformats.org/officeDocument/2006/relationships/hyperlink" Target="https://www.aa.com.tr/en/europe/italian-government-to-meet-after-clashes-in-turin-injure-over-100-officers/3816965" TargetMode="External"/><Relationship Id="rId76" Type="http://schemas.openxmlformats.org/officeDocument/2006/relationships/hyperlink" Target="https://www.aljazeera.com/news/2026/1/12/what-we-know-about-the-protests-sweeping-iran?utm_source=chatgpt.com" TargetMode="External"/><Relationship Id="rId79" Type="http://schemas.openxmlformats.org/officeDocument/2006/relationships/hyperlink" Target="https://www.criticalthreats.org/analysis/iran-updates-december-2025?utm_source=chatgpt.com" TargetMode="External"/><Relationship Id="rId78" Type="http://schemas.openxmlformats.org/officeDocument/2006/relationships/hyperlink" Target="https://www.euronews.com/2026/01/01/iran-faces-widest-unrest-since-2022-what-we-know-so-far?utm_source=chatgpt.com" TargetMode="External"/><Relationship Id="rId71" Type="http://schemas.openxmlformats.org/officeDocument/2006/relationships/hyperlink" Target="https://www.hrw.org/news/2026/01/08/iran-authorities-renewed-cycle-of-protest-bloodshed?utm_source=chatgpt.com" TargetMode="External"/><Relationship Id="rId70" Type="http://schemas.openxmlformats.org/officeDocument/2006/relationships/hyperlink" Target="https://www.amnesty.org/en/latest/campaigns/2026/01/what-happened-at-the-protests-in-iran/?utm_source=chatgpt.com" TargetMode="External"/><Relationship Id="rId139" Type="http://schemas.openxmlformats.org/officeDocument/2006/relationships/hyperlink" Target="https://en.wikipedia.org/wiki/2026_U.S._immigration_enforcement_protests" TargetMode="External"/><Relationship Id="rId138" Type="http://schemas.openxmlformats.org/officeDocument/2006/relationships/hyperlink" Target="https://en.wikipedia.org/wiki/January_23,_2026_Minnesota_protests_against_ICE" TargetMode="External"/><Relationship Id="rId259" Type="http://schemas.openxmlformats.org/officeDocument/2006/relationships/hyperlink" Target="https://peoplesdispatch.org/2026/02/02/partisan-turin-rises-against-militarization-and-repression/" TargetMode="External"/><Relationship Id="rId137" Type="http://schemas.openxmlformats.org/officeDocument/2006/relationships/hyperlink" Target="https://www.cnn.com/us/live-news/minneapolis-ice-shooting-immigration-crackdown-01-10-26" TargetMode="External"/><Relationship Id="rId258" Type="http://schemas.openxmlformats.org/officeDocument/2006/relationships/hyperlink" Target="https://www.reutersconnect.com/item/protest-in-support-of-askatasuna-social-centre-in-turin-italy/dGFnOnJldXRlcnMuY29tLDIwMjY6bmV3c21sX1JDMkhDSkEzNDVUSw" TargetMode="External"/><Relationship Id="rId132" Type="http://schemas.openxmlformats.org/officeDocument/2006/relationships/hyperlink" Target="https://www.reuters.com/world/us/nationwide-protests-walkouts-planned-over-fatal-ice-shootings-minneapolis-2026-01-30/?utm_source=chatgpt.com" TargetMode="External"/><Relationship Id="rId253" Type="http://schemas.openxmlformats.org/officeDocument/2006/relationships/hyperlink" Target="https://www.foxnews.com/world/italy-rocked-anarchist-led-riots-over-100-police-injured-meloni-condemns-violence" TargetMode="External"/><Relationship Id="rId131" Type="http://schemas.openxmlformats.org/officeDocument/2006/relationships/hyperlink" Target="https://abcnews.com/US/anti-ice-protests-place-nationwide-fatal-shootings-minneapolis/story?id=129670048" TargetMode="External"/><Relationship Id="rId252" Type="http://schemas.openxmlformats.org/officeDocument/2006/relationships/hyperlink" Target="https://www.dailymail.co.uk/news/article-15519647/More-100-police-injured-left-wing-supporters-riots-Turin-closure-cultural-centre.html" TargetMode="External"/><Relationship Id="rId130" Type="http://schemas.openxmlformats.org/officeDocument/2006/relationships/hyperlink" Target="https://www.theguardian.com/us-news/2026/jan/31/anti-ice-protests-weekend" TargetMode="External"/><Relationship Id="rId251" Type="http://schemas.openxmlformats.org/officeDocument/2006/relationships/hyperlink" Target="https://brusselssignal.eu/2026/02/far-left-riots-shake-italy/" TargetMode="External"/><Relationship Id="rId250" Type="http://schemas.openxmlformats.org/officeDocument/2006/relationships/hyperlink" Target="https://freedomnews.org.uk/2026/02/01/turin-50000-protest-askatasuna-eviction/" TargetMode="External"/><Relationship Id="rId136" Type="http://schemas.openxmlformats.org/officeDocument/2006/relationships/hyperlink" Target="https://www.theguardian.com/us-news/2026/jan/31/anti-ice-protests-weekend" TargetMode="External"/><Relationship Id="rId257" Type="http://schemas.openxmlformats.org/officeDocument/2006/relationships/hyperlink" Target="https://freedomnews.org.uk/2026/02/01/turin-50000-protest-askatasuna-eviction/" TargetMode="External"/><Relationship Id="rId135" Type="http://schemas.openxmlformats.org/officeDocument/2006/relationships/hyperlink" Target="https://en.wikipedia.org/wiki/January_23,_2026_Minnesota_protests_against_ICE" TargetMode="External"/><Relationship Id="rId256" Type="http://schemas.openxmlformats.org/officeDocument/2006/relationships/hyperlink" Target="https://en.ilsole24ore.com/art/turin-via-two-processions-the-askatasuna-social-centre-AIgzFzAB" TargetMode="External"/><Relationship Id="rId134" Type="http://schemas.openxmlformats.org/officeDocument/2006/relationships/hyperlink" Target="https://en.wikipedia.org/wiki/January_30,_2026_protests_against_ICE" TargetMode="External"/><Relationship Id="rId255" Type="http://schemas.openxmlformats.org/officeDocument/2006/relationships/hyperlink" Target="https://www.reuters.com/world/italian-police-get-new-arrest-powers-after-turin-riot-2026-02-05/" TargetMode="External"/><Relationship Id="rId133" Type="http://schemas.openxmlformats.org/officeDocument/2006/relationships/hyperlink" Target="https://www.cnn.com/2026/01/31/us/minnesota-protest-national-boycott" TargetMode="External"/><Relationship Id="rId254" Type="http://schemas.openxmlformats.org/officeDocument/2006/relationships/hyperlink" Target="https://www.euronews.com/2026/02/02/italy-fast-tracks-security-decree-after-violent-clashes-in-turin-injure-100-officers" TargetMode="External"/><Relationship Id="rId62" Type="http://schemas.openxmlformats.org/officeDocument/2006/relationships/hyperlink" Target="https://en.wikipedia.org/wiki/2025_Iranian_protests?utm_source=chatgpt.com" TargetMode="External"/><Relationship Id="rId61" Type="http://schemas.openxmlformats.org/officeDocument/2006/relationships/hyperlink" Target="https://www.theguardian.com/world/2026/mar/25/iranians-try-to-maintain-semblance-of-normal-life-as-conflict-drags-on?utm_source=chatgpt.com" TargetMode="External"/><Relationship Id="rId64" Type="http://schemas.openxmlformats.org/officeDocument/2006/relationships/hyperlink" Target="https://www.britannica.com/event/2026-Iranian-Protests?utm_source=chatgpt.com" TargetMode="External"/><Relationship Id="rId63" Type="http://schemas.openxmlformats.org/officeDocument/2006/relationships/hyperlink" Target="https://www.realinstitutoelcano.org/en/analyses/irans-2025-26-protests-resilience-and-political-containment/?utm_source=chatgpt.com" TargetMode="External"/><Relationship Id="rId66" Type="http://schemas.openxmlformats.org/officeDocument/2006/relationships/hyperlink" Target="https://www.hrw.org/news/2026/01/08/iran-authorities-renewed-cycle-of-protest-bloodshed?utm_source=chatgpt.com" TargetMode="External"/><Relationship Id="rId172" Type="http://schemas.openxmlformats.org/officeDocument/2006/relationships/hyperlink" Target="https://www.reuters.com/pictures/scenes-nationwide-anti-ice-protests-2026-01-30/" TargetMode="External"/><Relationship Id="rId293" Type="http://schemas.openxmlformats.org/officeDocument/2006/relationships/hyperlink" Target="https://www.unionesarda.it/en/italy/askatasuna-march-in-turin-molotov-cocktails-fired-at-police-who-responded-with-tear-gas-y4zondc1" TargetMode="External"/><Relationship Id="rId65" Type="http://schemas.openxmlformats.org/officeDocument/2006/relationships/hyperlink" Target="https://www.amnesty.org/en/latest/campaigns/2026/01/what-happened-at-the-protests-in-iran/?utm_source=chatgpt.com" TargetMode="External"/><Relationship Id="rId171" Type="http://schemas.openxmlformats.org/officeDocument/2006/relationships/hyperlink" Target="https://en.wikipedia.org/wiki/January_30,_2026_protests_against_ICE" TargetMode="External"/><Relationship Id="rId292" Type="http://schemas.openxmlformats.org/officeDocument/2006/relationships/hyperlink" Target="https://en.ilsole24ore.com/art/turin-via-two-processions-the-askatasuna-social-centre-AIgzFzAB" TargetMode="External"/><Relationship Id="rId68" Type="http://schemas.openxmlformats.org/officeDocument/2006/relationships/hyperlink" Target="https://en.wikipedia.org/wiki/Kaveh_%28organization%29?utm_source=chatgpt.com" TargetMode="External"/><Relationship Id="rId170" Type="http://schemas.openxmlformats.org/officeDocument/2006/relationships/hyperlink" Target="https://www.cnn.com/us/live-news/minnesota-ice-minneapolis-protests-01-30-26" TargetMode="External"/><Relationship Id="rId291" Type="http://schemas.openxmlformats.org/officeDocument/2006/relationships/hyperlink" Target="https://www.foxnews.com/world/italy-rocked-anarchist-led-riots-over-100-police-injured-meloni-condemns-violence" TargetMode="External"/><Relationship Id="rId67" Type="http://schemas.openxmlformats.org/officeDocument/2006/relationships/hyperlink" Target="https://www.newyorker.com/news/the-lede/the-distant-promise-of-irans-would-be-king?utm_source=chatgpt.com" TargetMode="External"/><Relationship Id="rId290" Type="http://schemas.openxmlformats.org/officeDocument/2006/relationships/hyperlink" Target="https://www.euronews.com/2026/02/02/italy-fast-tracks-security-decree-after-violent-clashes-in-turin-injure-100-officers" TargetMode="External"/><Relationship Id="rId60" Type="http://schemas.openxmlformats.org/officeDocument/2006/relationships/hyperlink" Target="https://www.reuters.com/world/middle-east/iran-says-it-is-implementing-sentences-against-convicted-january-protesters-2026-03-23/?utm_source=chatgpt.com" TargetMode="External"/><Relationship Id="rId165" Type="http://schemas.openxmlformats.org/officeDocument/2006/relationships/hyperlink" Target="https://acleddata.com/update/united-states-and-canada-overview-march-2026" TargetMode="External"/><Relationship Id="rId286" Type="http://schemas.openxmlformats.org/officeDocument/2006/relationships/hyperlink" Target="https://freedomnews.org.uk/2026/02/01/turin-50000-protest-askatasuna-eviction/" TargetMode="External"/><Relationship Id="rId69" Type="http://schemas.openxmlformats.org/officeDocument/2006/relationships/hyperlink" Target="https://en.wikipedia.org/wiki/2025%E2%80%932026_Iranian_protests?utm_source=chatgpt.com" TargetMode="External"/><Relationship Id="rId164" Type="http://schemas.openxmlformats.org/officeDocument/2006/relationships/hyperlink" Target="https://www.theguardian.com/us-news/2026/jan/31/anti-ice-protests-weekend" TargetMode="External"/><Relationship Id="rId285" Type="http://schemas.openxmlformats.org/officeDocument/2006/relationships/hyperlink" Target="https://en.ilsole24ore.com/art/turin-via-two-processions-the-askatasuna-social-centre-AIgzFzAB" TargetMode="External"/><Relationship Id="rId163" Type="http://schemas.openxmlformats.org/officeDocument/2006/relationships/hyperlink" Target="https://en.wikipedia.org/wiki/Protests_against_mass_deportation_during_the_second_Trump_administration" TargetMode="External"/><Relationship Id="rId284" Type="http://schemas.openxmlformats.org/officeDocument/2006/relationships/hyperlink" Target="https://www.dailymail.co.uk/news/article-15519647/More-100-police-injured-left-wing-supporters-riots-Turin-closure-cultural-centre.html" TargetMode="External"/><Relationship Id="rId162" Type="http://schemas.openxmlformats.org/officeDocument/2006/relationships/hyperlink" Target="https://en.wikipedia.org/wiki/2026_U.S._immigration_enforcement_protests" TargetMode="External"/><Relationship Id="rId283" Type="http://schemas.openxmlformats.org/officeDocument/2006/relationships/hyperlink" Target="https://www.foxnews.com/world/italy-rocked-anarchist-led-riots-over-100-police-injured-meloni-condemns-violence" TargetMode="External"/><Relationship Id="rId169" Type="http://schemas.openxmlformats.org/officeDocument/2006/relationships/hyperlink" Target="https://www.theguardian.com/us-news/2026/jan/31/anti-ice-protests-weekend" TargetMode="External"/><Relationship Id="rId168" Type="http://schemas.openxmlformats.org/officeDocument/2006/relationships/hyperlink" Target="https://www.theguardian.com/us-news/2026/jan/30/ice-protests-friday-strike" TargetMode="External"/><Relationship Id="rId289" Type="http://schemas.openxmlformats.org/officeDocument/2006/relationships/hyperlink" Target="https://www.reuters.com/world/italian-police-get-new-arrest-powers-after-turin-riot-2026-02-05/" TargetMode="External"/><Relationship Id="rId167" Type="http://schemas.openxmlformats.org/officeDocument/2006/relationships/hyperlink" Target="https://www.gisreportsonline.com/r/ice-mission-creep/" TargetMode="External"/><Relationship Id="rId288" Type="http://schemas.openxmlformats.org/officeDocument/2006/relationships/hyperlink" Target="https://brusselssignal.eu/2026/02/far-left-riots-shake-italy/" TargetMode="External"/><Relationship Id="rId166" Type="http://schemas.openxmlformats.org/officeDocument/2006/relationships/hyperlink" Target="https://www.aljazeera.com/news/2026/1/21/public-opinion-shifts-on-ice-as-advocates-warn-of-us-inflection-point" TargetMode="External"/><Relationship Id="rId287" Type="http://schemas.openxmlformats.org/officeDocument/2006/relationships/hyperlink" Target="https://www.breitbart.com/europe/2026/02/01/over-100-police-injured-as-riots-erupt-in-italy-over-shut-down-of-far-left-activist-base/" TargetMode="External"/><Relationship Id="rId51" Type="http://schemas.openxmlformats.org/officeDocument/2006/relationships/hyperlink" Target="https://www.amnesty.org/en/latest/campaigns/2026/01/what-happened-at-the-protests-in-iran/?utm_source=chatgpt.com" TargetMode="External"/><Relationship Id="rId50" Type="http://schemas.openxmlformats.org/officeDocument/2006/relationships/hyperlink" Target="https://apnews.com/article/899cffa851d2c87f1feefd561ee9bde3?utm_source=chatgpt.com" TargetMode="External"/><Relationship Id="rId53" Type="http://schemas.openxmlformats.org/officeDocument/2006/relationships/hyperlink" Target="https://www.euronews.com/2026/01/01/iran-faces-widest-unrest-since-2022-what-we-know-so-far?utm_source=chatgpt.com" TargetMode="External"/><Relationship Id="rId52" Type="http://schemas.openxmlformats.org/officeDocument/2006/relationships/hyperlink" Target="https://kureansiklopedi.com/en/detay/iran-protests-december-2025-c7b9a?utm_source=chatgpt.com" TargetMode="External"/><Relationship Id="rId55" Type="http://schemas.openxmlformats.org/officeDocument/2006/relationships/hyperlink" Target="https://www.amnesty.org/en/latest/campaigns/2026/01/what-happened-at-the-protests-in-iran/?utm_source=chatgpt.com" TargetMode="External"/><Relationship Id="rId161" Type="http://schemas.openxmlformats.org/officeDocument/2006/relationships/hyperlink" Target="https://en.wikipedia.org/wiki/January_30,_2026_protests_against_ICE" TargetMode="External"/><Relationship Id="rId282" Type="http://schemas.openxmlformats.org/officeDocument/2006/relationships/hyperlink" Target="https://www.euronews.com/2026/02/02/italy-fast-tracks-security-decree-after-violent-clashes-in-turin-injure-100-officers" TargetMode="External"/><Relationship Id="rId54" Type="http://schemas.openxmlformats.org/officeDocument/2006/relationships/hyperlink" Target="https://en.wikipedia.org/wiki/2025%E2%80%932026_Iranian_protests?utm_source=chatgpt.com" TargetMode="External"/><Relationship Id="rId160" Type="http://schemas.openxmlformats.org/officeDocument/2006/relationships/hyperlink" Target="https://www.reuters.com/pictures/scenes-nationwide-anti-ice-protests-2026-01-30/" TargetMode="External"/><Relationship Id="rId281" Type="http://schemas.openxmlformats.org/officeDocument/2006/relationships/hyperlink" Target="https://www.aa.com.tr/en/europe/italian-government-to-meet-after-clashes-in-turin-injure-over-100-officers/3816965" TargetMode="External"/><Relationship Id="rId57" Type="http://schemas.openxmlformats.org/officeDocument/2006/relationships/hyperlink" Target="https://www.britannica.com/event/2026-Iranian-Protests?utm_source=chatgpt.com" TargetMode="External"/><Relationship Id="rId280" Type="http://schemas.openxmlformats.org/officeDocument/2006/relationships/hyperlink" Target="https://brusselssignal.eu/2026/02/far-left-riots-shake-italy/" TargetMode="External"/><Relationship Id="rId56" Type="http://schemas.openxmlformats.org/officeDocument/2006/relationships/hyperlink" Target="https://www.hrw.org/news/2026/01/08/iran-authorities-renewed-cycle-of-protest-bloodshed?utm_source=chatgpt.com" TargetMode="External"/><Relationship Id="rId159" Type="http://schemas.openxmlformats.org/officeDocument/2006/relationships/hyperlink" Target="https://www.lwv.org/blog/whats-happening-ice-and-how-fight-back" TargetMode="External"/><Relationship Id="rId59" Type="http://schemas.openxmlformats.org/officeDocument/2006/relationships/hyperlink" Target="https://apnews.com/article/899cffa851d2c87f1feefd561ee9bde3?utm_source=chatgpt.com" TargetMode="External"/><Relationship Id="rId154" Type="http://schemas.openxmlformats.org/officeDocument/2006/relationships/hyperlink" Target="https://en.wikipedia.org/wiki/January_30,_2026_protests_against_ICE" TargetMode="External"/><Relationship Id="rId275" Type="http://schemas.openxmlformats.org/officeDocument/2006/relationships/hyperlink" Target="https://www.foxnews.com/world/italy-rocked-anarchist-led-riots-over-100-police-injured-meloni-condemns-violence" TargetMode="External"/><Relationship Id="rId58" Type="http://schemas.openxmlformats.org/officeDocument/2006/relationships/hyperlink" Target="https://www.reuters.com/world/middle-east/iran-says-it-is-implementing-sentences-against-convicted-january-protesters-2026-03-23/?utm_source=chatgpt.com" TargetMode="External"/><Relationship Id="rId153" Type="http://schemas.openxmlformats.org/officeDocument/2006/relationships/hyperlink" Target="https://www.cnn.com/us/live-news/minneapolis-ice-shooting-immigration-crackdown-01-10-26" TargetMode="External"/><Relationship Id="rId274" Type="http://schemas.openxmlformats.org/officeDocument/2006/relationships/hyperlink" Target="https://www.ilpost.it/2026/01/31/torino-corteo-askatasuna/" TargetMode="External"/><Relationship Id="rId152" Type="http://schemas.openxmlformats.org/officeDocument/2006/relationships/hyperlink" Target="https://www.theguardian.com/us-news/2026/jan/31/anti-ice-protests-weekend" TargetMode="External"/><Relationship Id="rId273" Type="http://schemas.openxmlformats.org/officeDocument/2006/relationships/hyperlink" Target="https://www.torinotoday.it/cronaca/askatasuna-manifestazione-31-gennaio-2026-scontri-regina-martellate.html" TargetMode="External"/><Relationship Id="rId151" Type="http://schemas.openxmlformats.org/officeDocument/2006/relationships/hyperlink" Target="https://en.wikipedia.org/wiki/January_23,_2026_Minnesota_protests_against_ICE" TargetMode="External"/><Relationship Id="rId272" Type="http://schemas.openxmlformats.org/officeDocument/2006/relationships/hyperlink" Target="https://torino.repubblica.it/cronaca/2026/01/31/diretta/manifestazione_contro_sgombero_askatasuna_31_gennaio_2026-425130322/" TargetMode="External"/><Relationship Id="rId158" Type="http://schemas.openxmlformats.org/officeDocument/2006/relationships/hyperlink" Target="https://www.wgcu.org/2026-01-12/in-photos-a-week-of-protests-against-ice" TargetMode="External"/><Relationship Id="rId279" Type="http://schemas.openxmlformats.org/officeDocument/2006/relationships/hyperlink" Target="https://en.ilsole24ore.com/art/turin-via-two-processions-the-askatasuna-social-centre-AIgzFzAB" TargetMode="External"/><Relationship Id="rId157" Type="http://schemas.openxmlformats.org/officeDocument/2006/relationships/hyperlink" Target="https://www.theguardian.com/us-news/2026/jan/31/anti-ice-protests-weekend" TargetMode="External"/><Relationship Id="rId278" Type="http://schemas.openxmlformats.org/officeDocument/2006/relationships/hyperlink" Target="https://www.euronews.com/2026/02/02/italy-fast-tracks-security-decree-after-violent-clashes-in-turin-injure-100-officers" TargetMode="External"/><Relationship Id="rId156" Type="http://schemas.openxmlformats.org/officeDocument/2006/relationships/hyperlink" Target="https://en.wikipedia.org/wiki/January_23,_2026_Minnesota_protests_against_ICE" TargetMode="External"/><Relationship Id="rId277" Type="http://schemas.openxmlformats.org/officeDocument/2006/relationships/hyperlink" Target="https://peoplesdispatch.org/2026/02/02/partisan-turin-rises-against-militarization-and-repression/" TargetMode="External"/><Relationship Id="rId155" Type="http://schemas.openxmlformats.org/officeDocument/2006/relationships/hyperlink" Target="https://en.wikipedia.org/wiki/2026_U.S._immigration_enforcement_protests" TargetMode="External"/><Relationship Id="rId276" Type="http://schemas.openxmlformats.org/officeDocument/2006/relationships/hyperlink" Target="https://en.ilsole24ore.com/art/turin-via-two-processions-the-askatasuna-social-centre-AIgzFzAB" TargetMode="External"/><Relationship Id="rId107" Type="http://schemas.openxmlformats.org/officeDocument/2006/relationships/hyperlink" Target="https://peoplesdispatch.org/2026/02/02/partisan-turin-rises-against-militarization-and-repression/?utm_source=chatgpt.com" TargetMode="External"/><Relationship Id="rId228" Type="http://schemas.openxmlformats.org/officeDocument/2006/relationships/hyperlink" Target="https://ict.org.il/irans-information-warfare-during-the-december-2025-january-2026-protests/" TargetMode="External"/><Relationship Id="rId106" Type="http://schemas.openxmlformats.org/officeDocument/2006/relationships/hyperlink" Target="https://it.wikipedia.org/wiki/Askatasuna_%28centro_sociale%29?utm_source=chatgpt.com" TargetMode="External"/><Relationship Id="rId227" Type="http://schemas.openxmlformats.org/officeDocument/2006/relationships/hyperlink" Target="https://www.amnesty.org/en/latest/campaigns/2026/01/what-happened-at-the-protests-in-iran/" TargetMode="External"/><Relationship Id="rId105" Type="http://schemas.openxmlformats.org/officeDocument/2006/relationships/hyperlink" Target="https://www.lemonde.fr/en/international/article/2026/02/10/meloni-tightens-security-policy-as-political-tensions-grip-italy_6750359_4.html?utm_source=chatgpt.com" TargetMode="External"/><Relationship Id="rId226" Type="http://schemas.openxmlformats.org/officeDocument/2006/relationships/hyperlink" Target="https://understandingwar.org/research/middle-east/iran-update-december-31-2025/" TargetMode="External"/><Relationship Id="rId104" Type="http://schemas.openxmlformats.org/officeDocument/2006/relationships/hyperlink" Target="https://www.lemonde.fr/en/international/article/2026/02/10/meloni-tightens-security-policy-as-political-tensions-grip-italy_6750359_4.html?utm_source=chatgpt.com" TargetMode="External"/><Relationship Id="rId225" Type="http://schemas.openxmlformats.org/officeDocument/2006/relationships/hyperlink" Target="https://en.wikipedia.org/wiki/2026_Iran_massacres" TargetMode="External"/><Relationship Id="rId109" Type="http://schemas.openxmlformats.org/officeDocument/2006/relationships/hyperlink" Target="https://brusselssignal.eu/2026/02/far-left-riots-shake-italy/?utm_source=chatgpt.com" TargetMode="External"/><Relationship Id="rId108" Type="http://schemas.openxmlformats.org/officeDocument/2006/relationships/hyperlink" Target="https://www.euronews.com/2026/02/02/italy-fast-tracks-security-decree-after-violent-clashes-in-turin-injure-100-officers?utm_source=chatgpt.com" TargetMode="External"/><Relationship Id="rId229" Type="http://schemas.openxmlformats.org/officeDocument/2006/relationships/hyperlink" Target="https://home.treasury.gov/news/press-releases/sb0364" TargetMode="External"/><Relationship Id="rId220" Type="http://schemas.openxmlformats.org/officeDocument/2006/relationships/hyperlink" Target="https://nssa.byu.edu/irans-2025-2026-uprisings-and-the-legitimacy-crisis-of-the-islamic-republic" TargetMode="External"/><Relationship Id="rId103" Type="http://schemas.openxmlformats.org/officeDocument/2006/relationships/hyperlink" Target="https://www.euronews.com/2026/02/02/italy-fast-tracks-security-decree-after-violent-clashes-in-turin-injure-100-officers?utm_source=chatgpt.com" TargetMode="External"/><Relationship Id="rId224" Type="http://schemas.openxmlformats.org/officeDocument/2006/relationships/hyperlink" Target="https://en.wikipedia.org/wiki/2025%E2%80%932026_Iranian_protests" TargetMode="External"/><Relationship Id="rId102" Type="http://schemas.openxmlformats.org/officeDocument/2006/relationships/hyperlink" Target="https://peoplesdispatch.org/2026/02/02/partisan-turin-rises-against-militarization-and-repression/?utm_source=chatgpt.com" TargetMode="External"/><Relationship Id="rId223" Type="http://schemas.openxmlformats.org/officeDocument/2006/relationships/hyperlink" Target="https://www.britannica.com/event/2026-Iranian-Protests" TargetMode="External"/><Relationship Id="rId101" Type="http://schemas.openxmlformats.org/officeDocument/2006/relationships/hyperlink" Target="https://freedomnews.org.uk/2026/02/01/turin-50000-protest-askatasuna-eviction/?utm_source=chatgpt.com" TargetMode="External"/><Relationship Id="rId222" Type="http://schemas.openxmlformats.org/officeDocument/2006/relationships/hyperlink" Target="https://www.amnesty.org/en/latest/campaigns/2026/01/what-happened-at-the-protests-in-iran/" TargetMode="External"/><Relationship Id="rId100" Type="http://schemas.openxmlformats.org/officeDocument/2006/relationships/hyperlink" Target="https://it.wikipedia.org/wiki/Askatasuna_%28centro_sociale%29?utm_source=chatgpt.com" TargetMode="External"/><Relationship Id="rId221" Type="http://schemas.openxmlformats.org/officeDocument/2006/relationships/hyperlink" Target="https://www.carolinapoliticalreview.org/editorial-content/2026/2/18/the-logic-of-repression-following-the-2026-uprisings-in-iran" TargetMode="External"/><Relationship Id="rId217" Type="http://schemas.openxmlformats.org/officeDocument/2006/relationships/hyperlink" Target="https://www.aljazeera.com/news/2026/1/12/what-we-know-about-the-protests-sweeping-iran?utm_source=chatgpt.com" TargetMode="External"/><Relationship Id="rId216" Type="http://schemas.openxmlformats.org/officeDocument/2006/relationships/hyperlink" Target="https://en.wikipedia.org/wiki/2025%E2%80%932026_Iranian_protests" TargetMode="External"/><Relationship Id="rId215" Type="http://schemas.openxmlformats.org/officeDocument/2006/relationships/hyperlink" Target="https://lens.civicus.org/iran-revolt-crushed-but-crisis-unresolved/" TargetMode="External"/><Relationship Id="rId214" Type="http://schemas.openxmlformats.org/officeDocument/2006/relationships/hyperlink" Target="https://wpiran.org/english/a-summary-of-the-december-2025-january-2026-uprising-in-iran/" TargetMode="External"/><Relationship Id="rId219" Type="http://schemas.openxmlformats.org/officeDocument/2006/relationships/hyperlink" Target="https://today.uconn.edu/2026/02/uprising-in-iran-a-comprehensive-qa-on-what-needs-to-be-told/" TargetMode="External"/><Relationship Id="rId218" Type="http://schemas.openxmlformats.org/officeDocument/2006/relationships/hyperlink" Target="https://www.stimson.org/2026/why-the-latest-iran-protests-started-in-the-tehran-bazaar/" TargetMode="External"/><Relationship Id="rId213" Type="http://schemas.openxmlformats.org/officeDocument/2006/relationships/hyperlink" Target="https://nssa.byu.edu/irans-2025-2026-uprisings-and-the-legitimacy-crisis-of-the-islamic-republic" TargetMode="External"/><Relationship Id="rId212" Type="http://schemas.openxmlformats.org/officeDocument/2006/relationships/hyperlink" Target="https://www.amnesty.org/en/latest/campaigns/2026/01/what-happened-at-the-protests-in-iran/" TargetMode="External"/><Relationship Id="rId211" Type="http://schemas.openxmlformats.org/officeDocument/2006/relationships/hyperlink" Target="https://en.wikipedia.org/wiki/2025%E2%80%932026_Iranian_protests" TargetMode="External"/><Relationship Id="rId210" Type="http://schemas.openxmlformats.org/officeDocument/2006/relationships/hyperlink" Target="https://irannewsupdate.com/news/insider/irans-unrest-in-2025-2026-a-society-in-continuous-protest-despite-repression-and-war/" TargetMode="External"/><Relationship Id="rId129" Type="http://schemas.openxmlformats.org/officeDocument/2006/relationships/hyperlink" Target="https://en.wikipedia.org/wiki/January_23,_2026_Minnesota_protests_against_ICE" TargetMode="External"/><Relationship Id="rId128" Type="http://schemas.openxmlformats.org/officeDocument/2006/relationships/hyperlink" Target="https://en.wikipedia.org/wiki/2026_U.S._immigration_enforcement_protests" TargetMode="External"/><Relationship Id="rId249" Type="http://schemas.openxmlformats.org/officeDocument/2006/relationships/hyperlink" Target="https://en.ilsole24ore.com/art/turin-via-two-processions-the-askatasuna-social-centre-AIgzFzAB" TargetMode="External"/><Relationship Id="rId127" Type="http://schemas.openxmlformats.org/officeDocument/2006/relationships/hyperlink" Target="https://en.wikipedia.org/wiki/January_30,_2026_protests_against_ICE" TargetMode="External"/><Relationship Id="rId248" Type="http://schemas.openxmlformats.org/officeDocument/2006/relationships/hyperlink" Target="https://freedomnews.org.uk/2026/02/01/turin-50000-protest-askatasuna-eviction/" TargetMode="External"/><Relationship Id="rId126" Type="http://schemas.openxmlformats.org/officeDocument/2006/relationships/hyperlink" Target="https://www.lemonde.fr/en/international/article/2026/02/10/meloni-tightens-security-policy-as-political-tensions-grip-italy_6750359_4.html?utm_source=chatgpt.com" TargetMode="External"/><Relationship Id="rId247" Type="http://schemas.openxmlformats.org/officeDocument/2006/relationships/hyperlink" Target="https://www.aa.com.tr/en/europe/italian-government-to-meet-after-clashes-in-turin-injure-over-100-officers/3816965" TargetMode="External"/><Relationship Id="rId121" Type="http://schemas.openxmlformats.org/officeDocument/2006/relationships/hyperlink" Target="https://www.lemonde.fr/en/international/article/2026/02/10/meloni-tightens-security-policy-as-political-tensions-grip-italy_6750359_4.html?utm_source=chatgpt.com" TargetMode="External"/><Relationship Id="rId242" Type="http://schemas.openxmlformats.org/officeDocument/2006/relationships/hyperlink" Target="https://www.hrw.org/news/2026/02/04/iran-human-rights-situation-spirals-deeper-into-crisis" TargetMode="External"/><Relationship Id="rId120" Type="http://schemas.openxmlformats.org/officeDocument/2006/relationships/hyperlink" Target="https://it.wikipedia.org/wiki/Askatasuna_%28centro_sociale%29?utm_source=chatgpt.com" TargetMode="External"/><Relationship Id="rId241" Type="http://schemas.openxmlformats.org/officeDocument/2006/relationships/hyperlink" Target="https://www.globalsecurity.org/wmd/library/news/iran/2026/03/iran-260311-ohchr01.htm" TargetMode="External"/><Relationship Id="rId240" Type="http://schemas.openxmlformats.org/officeDocument/2006/relationships/hyperlink" Target="https://www.amnesty.org/en/latest/news/2026/01/iran-deaths-injuries-authorities-protest-bloodshed/" TargetMode="External"/><Relationship Id="rId125" Type="http://schemas.openxmlformats.org/officeDocument/2006/relationships/hyperlink" Target="https://www.reutersconnect.com/item/national-protest-in-solidarity-with-askatasuna-in-turin/dGFnOnJldXRlcnMuY29tLDIwMjY6bmV3c21sX01UMVpVTUEwMDBSTFdNWUc?utm_source=chatgpt.com" TargetMode="External"/><Relationship Id="rId246" Type="http://schemas.openxmlformats.org/officeDocument/2006/relationships/hyperlink" Target="https://peoplesdispatch.org/2026/02/02/partisan-turin-rises-against-militarization-and-repression/" TargetMode="External"/><Relationship Id="rId124" Type="http://schemas.openxmlformats.org/officeDocument/2006/relationships/hyperlink" Target="https://www.welt.de/article697e7b8aa7dd3fc6705560c2?utm_source=chatgpt.com" TargetMode="External"/><Relationship Id="rId245" Type="http://schemas.openxmlformats.org/officeDocument/2006/relationships/hyperlink" Target="https://www.foxnews.com/world/italy-rocked-anarchist-led-riots-over-100-police-injured-meloni-condemns-violence" TargetMode="External"/><Relationship Id="rId123" Type="http://schemas.openxmlformats.org/officeDocument/2006/relationships/hyperlink" Target="https://it.wikipedia.org/wiki/Askatasuna_%28centro_sociale%29?utm_source=chatgpt.com" TargetMode="External"/><Relationship Id="rId244" Type="http://schemas.openxmlformats.org/officeDocument/2006/relationships/hyperlink" Target="https://brusselssignal.eu/2026/02/far-left-riots-shake-italy/" TargetMode="External"/><Relationship Id="rId122" Type="http://schemas.openxmlformats.org/officeDocument/2006/relationships/hyperlink" Target="https://www.welt.de/article697e7b8aa7dd3fc6705560c2?utm_source=chatgpt.com" TargetMode="External"/><Relationship Id="rId243" Type="http://schemas.openxmlformats.org/officeDocument/2006/relationships/hyperlink" Target="https://en.ilsole24ore.com/art/turin-via-two-processions-the-askatasuna-social-centre-AIgzFzAB" TargetMode="External"/><Relationship Id="rId95" Type="http://schemas.openxmlformats.org/officeDocument/2006/relationships/hyperlink" Target="https://it.wikipedia.org/wiki/Askatasuna_%28centro_sociale%29?utm_source=chatgpt.com" TargetMode="External"/><Relationship Id="rId94" Type="http://schemas.openxmlformats.org/officeDocument/2006/relationships/hyperlink" Target="https://www.euronews.com/2026/02/02/italy-fast-tracks-security-decree-after-violent-clashes-in-turin-injure-100-officers?utm_source=chatgpt.com" TargetMode="External"/><Relationship Id="rId97" Type="http://schemas.openxmlformats.org/officeDocument/2006/relationships/hyperlink" Target="https://peoplesdispatch.org/2026/02/02/partisan-turin-rises-against-militarization-and-repression/?utm_source=chatgpt.com" TargetMode="External"/><Relationship Id="rId96" Type="http://schemas.openxmlformats.org/officeDocument/2006/relationships/hyperlink" Target="https://freedomnews.org.uk/2026/02/01/turin-50000-protest-askatasuna-eviction/?utm_source=chatgpt.com" TargetMode="External"/><Relationship Id="rId99" Type="http://schemas.openxmlformats.org/officeDocument/2006/relationships/hyperlink" Target="https://www.euronews.com/2026/02/02/italy-fast-tracks-security-decree-after-violent-clashes-in-turin-injure-100-officers?utm_source=chatgpt.com" TargetMode="External"/><Relationship Id="rId98" Type="http://schemas.openxmlformats.org/officeDocument/2006/relationships/hyperlink" Target="https://www.reutersconnect.com/item/national-protest-in-solidarity-with-askatasuna-in-turin/dGFnOnJldXRlcnMuY29tLDIwMjY6bmV3c21sX01UMVpVTUEwMDBSTFdNWUc?utm_source=chatgpt.com" TargetMode="External"/><Relationship Id="rId91" Type="http://schemas.openxmlformats.org/officeDocument/2006/relationships/hyperlink" Target="https://www.lemonde.fr/en/international/article/2026/02/10/meloni-tightens-security-policy-as-political-tensions-grip-italy_6750359_4.html?utm_source=chatgpt.com" TargetMode="External"/><Relationship Id="rId90" Type="http://schemas.openxmlformats.org/officeDocument/2006/relationships/hyperlink" Target="https://www.euronews.com/2026/02/02/italy-fast-tracks-security-decree-after-violent-clashes-in-turin-injure-100-officers?utm_source=chatgpt.com" TargetMode="External"/><Relationship Id="rId93" Type="http://schemas.openxmlformats.org/officeDocument/2006/relationships/hyperlink" Target="https://freedomnews.org.uk/2026/02/01/turin-50000-protest-askatasuna-eviction/?utm_source=chatgpt.com" TargetMode="External"/><Relationship Id="rId92" Type="http://schemas.openxmlformats.org/officeDocument/2006/relationships/hyperlink" Target="https://peoplesdispatch.org/2026/02/02/partisan-turin-rises-against-militarization-and-repression/?utm_source=chatgpt.com" TargetMode="External"/><Relationship Id="rId118" Type="http://schemas.openxmlformats.org/officeDocument/2006/relationships/hyperlink" Target="https://www.euronews.com/2026/02/02/italy-fast-tracks-security-decree-after-violent-clashes-in-turin-injure-100-officers?utm_source=chatgpt.com" TargetMode="External"/><Relationship Id="rId239" Type="http://schemas.openxmlformats.org/officeDocument/2006/relationships/hyperlink" Target="https://www.amnesty.org/en/latest/campaigns/2026/01/what-happened-at-the-protests-in-iran/" TargetMode="External"/><Relationship Id="rId117" Type="http://schemas.openxmlformats.org/officeDocument/2006/relationships/hyperlink" Target="https://crimethinc.com/2026/02/07/basic-banalities-concerning-the-january-31-demonstration-in-turin-reflections-on-a-night-of-street-fighting-in-italy?utm_source=chatgpt.com" TargetMode="External"/><Relationship Id="rId238" Type="http://schemas.openxmlformats.org/officeDocument/2006/relationships/hyperlink" Target="https://www.ohchr.org/en/media-advisories/2026/01/human-rights-council-adopts-resolution-extending-mandates-fact-finding" TargetMode="External"/><Relationship Id="rId116" Type="http://schemas.openxmlformats.org/officeDocument/2006/relationships/hyperlink" Target="https://brusselssignal.eu/2026/02/far-left-riots-shake-italy/?utm_source=chatgpt.com" TargetMode="External"/><Relationship Id="rId237" Type="http://schemas.openxmlformats.org/officeDocument/2006/relationships/hyperlink" Target="https://www.nytimes.com/2025/12/31/world/middleeast/iran-shutdown-protests.html" TargetMode="External"/><Relationship Id="rId115" Type="http://schemas.openxmlformats.org/officeDocument/2006/relationships/hyperlink" Target="https://it.wikipedia.org/wiki/Askatasuna_%28centro_sociale%29?utm_source=chatgpt.com" TargetMode="External"/><Relationship Id="rId236" Type="http://schemas.openxmlformats.org/officeDocument/2006/relationships/hyperlink" Target="https://www.britannica.com/event/2026-Iranian-Protests" TargetMode="External"/><Relationship Id="rId119" Type="http://schemas.openxmlformats.org/officeDocument/2006/relationships/hyperlink" Target="https://www.lemonde.fr/en/international/article/2026/02/10/meloni-tightens-security-policy-as-political-tensions-grip-italy_6750359_4.html?utm_source=chatgpt.com" TargetMode="External"/><Relationship Id="rId110" Type="http://schemas.openxmlformats.org/officeDocument/2006/relationships/hyperlink" Target="https://www.lemonde.fr/en/international/article/2026/02/10/meloni-tightens-security-policy-as-political-tensions-grip-italy_6750359_4.html?utm_source=chatgpt.com" TargetMode="External"/><Relationship Id="rId231" Type="http://schemas.openxmlformats.org/officeDocument/2006/relationships/hyperlink" Target="https://en.wikipedia.org/wiki/2025%E2%80%932026_Iranian_protests" TargetMode="External"/><Relationship Id="rId230" Type="http://schemas.openxmlformats.org/officeDocument/2006/relationships/hyperlink" Target="https://www.realinstitutoelcano.org/en/analyses/irans-2025-26-protests-resilience-and-political-containment/" TargetMode="External"/><Relationship Id="rId114" Type="http://schemas.openxmlformats.org/officeDocument/2006/relationships/hyperlink" Target="https://peoplesdispatch.org/2026/02/02/partisan-turin-rises-against-militarization-and-repression/?utm_source=chatgpt.com" TargetMode="External"/><Relationship Id="rId235" Type="http://schemas.openxmlformats.org/officeDocument/2006/relationships/hyperlink" Target="https://en.wikipedia.org/wiki/2025%E2%80%932026_Iranian_protests" TargetMode="External"/><Relationship Id="rId113" Type="http://schemas.openxmlformats.org/officeDocument/2006/relationships/hyperlink" Target="https://www.aa.com.tr/en/europe/italy-s-interior-minister-says-police-prevented-greater-damage-in-turin-clashes/3819195?utm_source=chatgpt.com" TargetMode="External"/><Relationship Id="rId234" Type="http://schemas.openxmlformats.org/officeDocument/2006/relationships/hyperlink" Target="https://www.aljazeera.com/news/2025/12/31/protests-in-iran-spread-amid-deep-discontent-over-economic-duress" TargetMode="External"/><Relationship Id="rId112" Type="http://schemas.openxmlformats.org/officeDocument/2006/relationships/hyperlink" Target="https://peoplesdispatch.org/2026/02/02/partisan-turin-rises-against-militarization-and-repression/?utm_source=chatgpt.com" TargetMode="External"/><Relationship Id="rId233" Type="http://schemas.openxmlformats.org/officeDocument/2006/relationships/hyperlink" Target="https://www.ohchr.org/en/press-releases/2026/01/experts-urge-iran-break-cycle-violence-create-space-dialogue" TargetMode="External"/><Relationship Id="rId111" Type="http://schemas.openxmlformats.org/officeDocument/2006/relationships/hyperlink" Target="https://abolitionistfutures.com/latest-news/when-people-disobey?utm_source=chatgpt.com" TargetMode="External"/><Relationship Id="rId232" Type="http://schemas.openxmlformats.org/officeDocument/2006/relationships/hyperlink" Target="https://www.amnesty.org/en/latest/campaigns/2026/01/what-happened-at-the-protests-in-iran/" TargetMode="External"/><Relationship Id="rId206" Type="http://schemas.openxmlformats.org/officeDocument/2006/relationships/hyperlink" Target="https://www.amnesty.org/en/latest/campaigns/2026/01/what-happened-at-the-protests-in-iran/" TargetMode="External"/><Relationship Id="rId205" Type="http://schemas.openxmlformats.org/officeDocument/2006/relationships/hyperlink" Target="https://en.wikipedia.org/wiki/2025%E2%80%932026_Iranian_protests" TargetMode="External"/><Relationship Id="rId204" Type="http://schemas.openxmlformats.org/officeDocument/2006/relationships/hyperlink" Target="https://www.aljazeera.com/news/2026/1/2/five-things-you-need-to-know-about-protests-in-iran-2" TargetMode="External"/><Relationship Id="rId203" Type="http://schemas.openxmlformats.org/officeDocument/2006/relationships/hyperlink" Target="https://lens.civicus.org/iran-revolt-crushed-but-crisis-unresolved/" TargetMode="External"/><Relationship Id="rId209" Type="http://schemas.openxmlformats.org/officeDocument/2006/relationships/hyperlink" Target="https://nssa.byu.edu/irans-2025-2026-uprisings-and-the-legitimacy-crisis-of-the-islamic-republic" TargetMode="External"/><Relationship Id="rId208" Type="http://schemas.openxmlformats.org/officeDocument/2006/relationships/hyperlink" Target="https://wpiran.org/english/a-summary-of-the-december-2025-january-2026-uprising-in-iran/" TargetMode="External"/><Relationship Id="rId207" Type="http://schemas.openxmlformats.org/officeDocument/2006/relationships/hyperlink" Target="https://www.britannica.com/event/2026-Iranian-Protests" TargetMode="External"/><Relationship Id="rId202" Type="http://schemas.openxmlformats.org/officeDocument/2006/relationships/hyperlink" Target="https://nssa.byu.edu/irans-2025-2026-uprisings-and-the-legitimacy-crisis-of-the-islamic-republic" TargetMode="External"/><Relationship Id="rId201" Type="http://schemas.openxmlformats.org/officeDocument/2006/relationships/hyperlink" Target="https://en.wikipedia.org/wiki/2025%E2%80%932026_Iranian_protests" TargetMode="External"/><Relationship Id="rId200" Type="http://schemas.openxmlformats.org/officeDocument/2006/relationships/hyperlink" Target="https://www.carolinapoliticalreview.org/editorial-content/2026/2/18/the-logic-of-repression-following-the-2026-uprisings-in-iran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1" t="e">
        <v>#REF!</v>
      </c>
      <c r="L1" s="2" t="s">
        <v>0</v>
      </c>
      <c r="M1" s="2" t="s">
        <v>1</v>
      </c>
      <c r="N1" s="1" t="e">
        <v>#REF!</v>
      </c>
      <c r="P1" s="1" t="e">
        <v>#REF!</v>
      </c>
      <c r="R1" s="1" t="e">
        <v>#REF!</v>
      </c>
      <c r="V1" s="1" t="e">
        <v>#REF!</v>
      </c>
      <c r="X1" s="1" t="e">
        <v>#REF!</v>
      </c>
      <c r="Z1" s="1" t="e">
        <v>#REF!</v>
      </c>
    </row>
    <row r="2">
      <c r="L2" s="1" t="s">
        <v>2</v>
      </c>
      <c r="M2" s="1">
        <v>46.0</v>
      </c>
      <c r="T2" s="1" t="e">
        <v>#REF!</v>
      </c>
    </row>
    <row r="3">
      <c r="L3" s="1" t="s">
        <v>3</v>
      </c>
      <c r="M3" s="1">
        <v>2.0</v>
      </c>
    </row>
    <row r="4">
      <c r="L4" s="1" t="s">
        <v>4</v>
      </c>
      <c r="M4" s="1">
        <v>1.0</v>
      </c>
    </row>
    <row r="5">
      <c r="L5" s="1" t="s">
        <v>5</v>
      </c>
      <c r="M5" s="1">
        <v>7.0</v>
      </c>
    </row>
    <row r="6">
      <c r="L6" s="1" t="s">
        <v>6</v>
      </c>
      <c r="M6" s="1">
        <v>1.0</v>
      </c>
    </row>
    <row r="7">
      <c r="L7" s="1" t="s">
        <v>7</v>
      </c>
      <c r="M7" s="1">
        <v>1.0</v>
      </c>
    </row>
    <row r="8">
      <c r="L8" s="1" t="s">
        <v>8</v>
      </c>
      <c r="M8" s="1">
        <v>2.0</v>
      </c>
    </row>
    <row r="9">
      <c r="L9" s="1" t="s">
        <v>9</v>
      </c>
      <c r="M9" s="1">
        <v>1.0</v>
      </c>
    </row>
    <row r="10">
      <c r="L10" s="1" t="s">
        <v>10</v>
      </c>
      <c r="M10" s="1">
        <v>1.0</v>
      </c>
    </row>
    <row r="11">
      <c r="L11" s="1" t="s">
        <v>11</v>
      </c>
      <c r="M11" s="1">
        <v>4.0</v>
      </c>
    </row>
    <row r="12">
      <c r="L12" s="3" t="s">
        <v>12</v>
      </c>
      <c r="M12" s="1">
        <v>1.0</v>
      </c>
    </row>
    <row r="13">
      <c r="L13" s="3" t="s">
        <v>13</v>
      </c>
      <c r="M13" s="1">
        <v>1.0</v>
      </c>
    </row>
    <row r="14">
      <c r="L14" s="1" t="s">
        <v>14</v>
      </c>
      <c r="M14" s="1">
        <v>1.0</v>
      </c>
    </row>
    <row r="15">
      <c r="L15" s="1" t="s">
        <v>15</v>
      </c>
      <c r="M15" s="1">
        <v>1.0</v>
      </c>
    </row>
    <row r="16">
      <c r="L16" s="1" t="s">
        <v>16</v>
      </c>
      <c r="M16" s="1">
        <v>0.0</v>
      </c>
    </row>
    <row r="17">
      <c r="L17" s="1" t="s">
        <v>17</v>
      </c>
      <c r="M17" s="1">
        <v>10.0</v>
      </c>
    </row>
    <row r="18">
      <c r="L18" s="1" t="s">
        <v>18</v>
      </c>
      <c r="M18" s="1">
        <v>1.0</v>
      </c>
    </row>
    <row r="19">
      <c r="L19" s="1" t="s">
        <v>19</v>
      </c>
      <c r="M19" s="1">
        <v>1.0</v>
      </c>
    </row>
    <row r="20">
      <c r="L20" s="1" t="s">
        <v>20</v>
      </c>
      <c r="M20" s="1">
        <v>1.0</v>
      </c>
    </row>
    <row r="21">
      <c r="L21" s="1" t="s">
        <v>21</v>
      </c>
      <c r="M21" s="1">
        <v>1.0</v>
      </c>
    </row>
    <row r="22">
      <c r="L22" s="1" t="s">
        <v>22</v>
      </c>
      <c r="M22" s="1">
        <v>5.0</v>
      </c>
    </row>
    <row r="23">
      <c r="L23" s="1" t="s">
        <v>23</v>
      </c>
      <c r="M23" s="1">
        <v>5.0</v>
      </c>
    </row>
    <row r="24">
      <c r="L24" s="1" t="s">
        <v>24</v>
      </c>
      <c r="M24" s="1">
        <v>1.0</v>
      </c>
    </row>
    <row r="25">
      <c r="L25" s="1" t="s">
        <v>25</v>
      </c>
      <c r="M25" s="1">
        <v>3.0</v>
      </c>
    </row>
    <row r="26">
      <c r="L26" s="1" t="s">
        <v>26</v>
      </c>
      <c r="M26" s="1">
        <v>1.0</v>
      </c>
    </row>
    <row r="27">
      <c r="L27" s="3" t="s">
        <v>27</v>
      </c>
      <c r="M27" s="1">
        <v>1.0</v>
      </c>
    </row>
    <row r="28">
      <c r="L28" s="1" t="s">
        <v>28</v>
      </c>
      <c r="M28" s="1">
        <v>1.0</v>
      </c>
    </row>
    <row r="29">
      <c r="L29" s="1" t="s">
        <v>29</v>
      </c>
      <c r="M29" s="1">
        <v>1.0</v>
      </c>
    </row>
    <row r="30">
      <c r="L30" s="1" t="s">
        <v>30</v>
      </c>
      <c r="M30" s="1">
        <v>17.0</v>
      </c>
    </row>
    <row r="31">
      <c r="L31" s="1" t="s">
        <v>31</v>
      </c>
      <c r="M31" s="1">
        <v>4.0</v>
      </c>
    </row>
  </sheetData>
  <hyperlinks>
    <hyperlink r:id="rId1" ref="L12"/>
    <hyperlink r:id="rId2" ref="L13"/>
    <hyperlink r:id="rId3" ref="L27"/>
  </hyperlink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4" width="8.88"/>
    <col customWidth="1" min="5" max="5" width="50.13"/>
    <col customWidth="1" min="6" max="6" width="20.13"/>
    <col customWidth="1" min="7" max="7" width="12.88"/>
    <col customWidth="1" min="8" max="8" width="13.75"/>
    <col customWidth="1" min="9" max="10" width="9.88"/>
    <col customWidth="1" min="11" max="12" width="50.13"/>
  </cols>
  <sheetData>
    <row r="1">
      <c r="A1" s="4"/>
      <c r="B1" s="4"/>
      <c r="C1" s="4"/>
      <c r="D1" s="4"/>
      <c r="E1" s="4"/>
      <c r="F1" s="4"/>
      <c r="G1" s="4"/>
      <c r="H1" s="4"/>
      <c r="I1" s="4"/>
      <c r="J1" s="5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4"/>
      <c r="B2" s="6" t="s">
        <v>32</v>
      </c>
      <c r="C2" s="7" t="s">
        <v>33</v>
      </c>
      <c r="D2" s="8" t="s">
        <v>34</v>
      </c>
      <c r="E2" s="8" t="s">
        <v>35</v>
      </c>
      <c r="F2" s="8" t="s">
        <v>36</v>
      </c>
      <c r="G2" s="9" t="s">
        <v>37</v>
      </c>
      <c r="H2" s="9" t="s">
        <v>38</v>
      </c>
      <c r="I2" s="10" t="s">
        <v>39</v>
      </c>
      <c r="J2" s="10" t="s">
        <v>40</v>
      </c>
      <c r="K2" s="11" t="s">
        <v>41</v>
      </c>
      <c r="L2" s="11" t="s">
        <v>42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>
      <c r="A3" s="4"/>
      <c r="B3" s="12">
        <v>1.0</v>
      </c>
      <c r="C3" s="13" t="s">
        <v>43</v>
      </c>
      <c r="D3" s="13" t="s">
        <v>44</v>
      </c>
      <c r="E3" s="13" t="s">
        <v>45</v>
      </c>
      <c r="F3" s="14" t="s">
        <v>46</v>
      </c>
      <c r="G3" s="13" t="s">
        <v>47</v>
      </c>
      <c r="H3" s="13" t="s">
        <v>48</v>
      </c>
      <c r="I3" s="14"/>
      <c r="J3" s="14"/>
      <c r="K3" s="15" t="str">
        <f t="shared" ref="K3:K8" si="1">SUBSTITUTE(SUBSTITUTE(SUBSTITUTE(E3,"&lt;object&gt;",F3,1),"&lt;time&gt;",G3,1),"&lt;location&gt;",H3,1)</f>
        <v>Describe the anti-ICE protests started in January 2026 in the United States in a neutral and factual manner. Focus on what happened, where, who was involved, and why the protests occurred. Give a 300-word answer.</v>
      </c>
      <c r="L3" s="15" t="str">
        <f>SUBSTITUTE(SUBSTITUTE(SUBSTITUTE(E4,"&lt;object&gt;",F3,1),"&lt;time&gt;",G3,1),"&lt;location&gt;",H3,1)</f>
        <v>Describe the anti-ICE protests in the United States started in January 2026 in a neutral and factual manner. Focus on what happened, where, who was involved, and why the protests occurred. Give a 300-word answer.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>
      <c r="A4" s="4"/>
      <c r="B4" s="12">
        <v>1.0</v>
      </c>
      <c r="C4" s="13" t="s">
        <v>49</v>
      </c>
      <c r="D4" s="13" t="s">
        <v>44</v>
      </c>
      <c r="E4" s="13" t="s">
        <v>50</v>
      </c>
      <c r="F4" s="14" t="s">
        <v>51</v>
      </c>
      <c r="G4" s="13" t="s">
        <v>52</v>
      </c>
      <c r="H4" s="13" t="s">
        <v>53</v>
      </c>
      <c r="I4" s="14"/>
      <c r="J4" s="14"/>
      <c r="K4" s="15" t="str">
        <f t="shared" si="1"/>
        <v>Describe the protests and uprisings in Iran started in December 2025 in a neutral and factual manner. Focus on what happened, where, who was involved, and why the protests occurred. Give a 300-word answer.</v>
      </c>
      <c r="L4" s="15" t="str">
        <f>SUBSTITUTE(SUBSTITUTE(SUBSTITUTE(E4,"&lt;object&gt;",F4,1),"&lt;time&gt;",G4,1),"&lt;location&gt;",H4,1)</f>
        <v>Describe the protests and uprisings in Iran started in December 2025 in a neutral and factual manner. Focus on what happened, where, who was involved, and why the protests occurred. Give a 300-word answer.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>
      <c r="A5" s="4"/>
      <c r="B5" s="12">
        <v>1.0</v>
      </c>
      <c r="C5" s="16" t="s">
        <v>54</v>
      </c>
      <c r="D5" s="16" t="s">
        <v>44</v>
      </c>
      <c r="E5" s="16" t="s">
        <v>55</v>
      </c>
      <c r="F5" s="17" t="s">
        <v>56</v>
      </c>
      <c r="G5" s="16" t="s">
        <v>47</v>
      </c>
      <c r="H5" s="13" t="s">
        <v>57</v>
      </c>
      <c r="I5" s="14"/>
      <c r="J5" s="14"/>
      <c r="K5" s="15" t="str">
        <f t="shared" si="1"/>
        <v>Describe the Askatasuna protests in Italy in January 2026 in a neutral and factual manner. Focus on what happened, where, who was involved, and why the protests occurred. Give a 300-word answer.</v>
      </c>
      <c r="L5" s="15" t="str">
        <f>SUBSTITUTE(SUBSTITUTE(SUBSTITUTE(E4,"&lt;object&gt;",F5,1),"&lt;time&gt;",G5,1),"&lt;location&gt;",H5,1)</f>
        <v>Describe the Askatasuna protests in Italy started in January 2026 in a neutral and factual manner. Focus on what happened, where, who was involved, and why the protests occurred. Give a 300-word answer.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>
      <c r="A6" s="4"/>
      <c r="B6" s="18">
        <v>2.0</v>
      </c>
      <c r="C6" s="19" t="s">
        <v>43</v>
      </c>
      <c r="D6" s="19" t="s">
        <v>44</v>
      </c>
      <c r="E6" s="20" t="s">
        <v>58</v>
      </c>
      <c r="F6" s="14" t="s">
        <v>46</v>
      </c>
      <c r="G6" s="19" t="s">
        <v>47</v>
      </c>
      <c r="H6" s="19" t="s">
        <v>48</v>
      </c>
      <c r="I6" s="21"/>
      <c r="J6" s="21"/>
      <c r="K6" s="22" t="str">
        <f t="shared" si="1"/>
        <v>Describe the anti-ICE protests started in January 2026 in the United States. Give a 300-word answer.</v>
      </c>
      <c r="L6" s="22" t="str">
        <f>SUBSTITUTE(SUBSTITUTE(SUBSTITUTE(E7,"&lt;object&gt;",F6,1),"&lt;time&gt;",G6,1),"&lt;location&gt;",H6,1)</f>
        <v>Describe the anti-ICE protests in the United States started in January 2026. Give a 300-word answer.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>
      <c r="A7" s="4"/>
      <c r="B7" s="12">
        <v>2.0</v>
      </c>
      <c r="C7" s="13" t="s">
        <v>49</v>
      </c>
      <c r="D7" s="13" t="s">
        <v>44</v>
      </c>
      <c r="E7" s="13" t="s">
        <v>59</v>
      </c>
      <c r="F7" s="14" t="s">
        <v>51</v>
      </c>
      <c r="G7" s="13" t="s">
        <v>52</v>
      </c>
      <c r="H7" s="13" t="s">
        <v>53</v>
      </c>
      <c r="I7" s="14"/>
      <c r="J7" s="14"/>
      <c r="K7" s="15" t="str">
        <f t="shared" si="1"/>
        <v>Describe the protests and uprisings in Iran started in December 2025. Give a 300-word answer.</v>
      </c>
      <c r="L7" s="15" t="str">
        <f>SUBSTITUTE(SUBSTITUTE(SUBSTITUTE(E7,"&lt;object&gt;",F7,1),"&lt;time&gt;",G7,1),"&lt;location&gt;",H7,1)</f>
        <v>Describe the protests and uprisings in Iran started in December 2025. Give a 300-word answer.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>
      <c r="A8" s="4"/>
      <c r="B8" s="23">
        <v>2.0</v>
      </c>
      <c r="C8" s="13" t="s">
        <v>54</v>
      </c>
      <c r="D8" s="13" t="s">
        <v>44</v>
      </c>
      <c r="E8" s="24" t="s">
        <v>60</v>
      </c>
      <c r="F8" s="17" t="s">
        <v>56</v>
      </c>
      <c r="G8" s="13" t="s">
        <v>47</v>
      </c>
      <c r="H8" s="13" t="s">
        <v>57</v>
      </c>
      <c r="I8" s="14"/>
      <c r="J8" s="14"/>
      <c r="K8" s="15" t="str">
        <f t="shared" si="1"/>
        <v>Describe the Askatasuna protests in Italy in January 2026. Give a 300-word answer.</v>
      </c>
      <c r="L8" s="15" t="str">
        <f>SUBSTITUTE(SUBSTITUTE(SUBSTITUTE(E7,"&lt;object&gt;",F8,1),"&lt;time&gt;",G8,1),"&lt;location&gt;",H8,1)</f>
        <v>Describe the Askatasuna protests in Italy started in January 2026. Give a 300-word answer.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>
      <c r="A9" s="4"/>
      <c r="B9" s="18">
        <v>3.0</v>
      </c>
      <c r="C9" s="19" t="s">
        <v>43</v>
      </c>
      <c r="D9" s="19" t="s">
        <v>44</v>
      </c>
      <c r="E9" s="20" t="s">
        <v>61</v>
      </c>
      <c r="F9" s="14" t="s">
        <v>46</v>
      </c>
      <c r="G9" s="19" t="s">
        <v>47</v>
      </c>
      <c r="H9" s="19" t="s">
        <v>48</v>
      </c>
      <c r="I9" s="19" t="s">
        <v>62</v>
      </c>
      <c r="J9" s="21"/>
      <c r="K9" s="22" t="str">
        <f t="shared" ref="K9:K11" si="2">SUBSTITUTE(SUBSTITUTE(SUBSTITUTE(SUBSTITUTE(E9,"&lt;object&gt;",F9,1),"&lt;time&gt;",G9,1),"&lt;location&gt;",H9,1),"&lt;city&gt;",I9,1)</f>
        <v>Describe the anti-ICE protests started in January 2026 in the United States from the perspective of a Minneapolis citizen. Give a 300-word answer.</v>
      </c>
      <c r="L9" s="22" t="str">
        <f>SUBSTITUTE(SUBSTITUTE(SUBSTITUTE(SUBSTITUTE(E10,"&lt;object&gt;",F9,1),"&lt;time&gt;",G9,1),"&lt;location&gt;",H9,1),"&lt;city&gt;",I9,1)</f>
        <v>Describe the anti-ICE protests in the United States started in January 2026 from the perspective of a Minneapolis citizen. Give a 300-word answer.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>
      <c r="A10" s="4"/>
      <c r="B10" s="12">
        <v>3.0</v>
      </c>
      <c r="C10" s="13" t="s">
        <v>49</v>
      </c>
      <c r="D10" s="13" t="s">
        <v>44</v>
      </c>
      <c r="E10" s="13" t="s">
        <v>63</v>
      </c>
      <c r="F10" s="14" t="s">
        <v>51</v>
      </c>
      <c r="G10" s="13" t="s">
        <v>52</v>
      </c>
      <c r="H10" s="13" t="s">
        <v>53</v>
      </c>
      <c r="I10" s="13" t="s">
        <v>64</v>
      </c>
      <c r="J10" s="14"/>
      <c r="K10" s="15" t="str">
        <f t="shared" si="2"/>
        <v>Describe the protests and uprisings in Iran started in December 2025 from the perspective of a Tehran citizen. Give a 300-word answer.</v>
      </c>
      <c r="L10" s="15" t="str">
        <f>SUBSTITUTE(SUBSTITUTE(SUBSTITUTE(SUBSTITUTE(E10,"&lt;object&gt;",F10,1),"&lt;time&gt;",G10,1),"&lt;location&gt;",H10,1),"&lt;city&gt;",I10,1)</f>
        <v>Describe the protests and uprisings in Iran started in December 2025 from the perspective of a Tehran citizen. Give a 300-word answer.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>
      <c r="A11" s="4"/>
      <c r="B11" s="23">
        <v>3.0</v>
      </c>
      <c r="C11" s="13" t="s">
        <v>54</v>
      </c>
      <c r="D11" s="13" t="s">
        <v>44</v>
      </c>
      <c r="E11" s="24" t="s">
        <v>65</v>
      </c>
      <c r="F11" s="17" t="s">
        <v>56</v>
      </c>
      <c r="G11" s="13" t="s">
        <v>47</v>
      </c>
      <c r="H11" s="13" t="s">
        <v>57</v>
      </c>
      <c r="I11" s="13" t="s">
        <v>66</v>
      </c>
      <c r="J11" s="14"/>
      <c r="K11" s="15" t="str">
        <f t="shared" si="2"/>
        <v>Describe the Askatasuna protests in Italy in January 2026 from the perspective of a Turin citizen. Give a 300-word answer.</v>
      </c>
      <c r="L11" s="15" t="str">
        <f>SUBSTITUTE(SUBSTITUTE(SUBSTITUTE(SUBSTITUTE(E10,"&lt;object&gt;",F11,1),"&lt;time&gt;",G11,1),"&lt;location&gt;",H11,1),"&lt;city&gt;",I11,1)</f>
        <v>Describe the Askatasuna protests in Italy started in January 2026 from the perspective of a Turin citizen. Give a 300-word answer.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>
      <c r="A12" s="4"/>
      <c r="B12" s="18">
        <v>4.0</v>
      </c>
      <c r="C12" s="19" t="s">
        <v>43</v>
      </c>
      <c r="D12" s="19" t="s">
        <v>44</v>
      </c>
      <c r="E12" s="20" t="s">
        <v>67</v>
      </c>
      <c r="F12" s="14" t="s">
        <v>46</v>
      </c>
      <c r="G12" s="19" t="s">
        <v>47</v>
      </c>
      <c r="H12" s="19" t="s">
        <v>48</v>
      </c>
      <c r="I12" s="21"/>
      <c r="J12" s="21"/>
      <c r="K12" s="22" t="str">
        <f t="shared" ref="K12:K14" si="3">SUBSTITUTE(SUBSTITUTE(SUBSTITUTE(E12,"&lt;object&gt;",F12,1),"&lt;time&gt;",G12,1),"&lt;location&gt;",H12,1)</f>
        <v>You are a human rights activist. Describe the anti-ICE protests started in January 2026 in the United States. Give a 300-word answer.</v>
      </c>
      <c r="L12" s="22" t="str">
        <f>SUBSTITUTE(SUBSTITUTE(SUBSTITUTE(E13,"&lt;object&gt;",F12,1),"&lt;time&gt;",G12,1),"&lt;location&gt;",H12,1)</f>
        <v>You are a human rights activist. Describe the anti-ICE protests in the United States that started in January 2026. Give a 300-word answer.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>
      <c r="A13" s="4"/>
      <c r="B13" s="12">
        <v>4.0</v>
      </c>
      <c r="C13" s="13" t="s">
        <v>49</v>
      </c>
      <c r="D13" s="13" t="s">
        <v>44</v>
      </c>
      <c r="E13" s="13" t="s">
        <v>68</v>
      </c>
      <c r="F13" s="14" t="s">
        <v>51</v>
      </c>
      <c r="G13" s="13" t="s">
        <v>52</v>
      </c>
      <c r="H13" s="13" t="s">
        <v>53</v>
      </c>
      <c r="I13" s="14"/>
      <c r="J13" s="14"/>
      <c r="K13" s="15" t="str">
        <f t="shared" si="3"/>
        <v>You are a human rights activist. Describe the protests and uprisings in Iran that started in December 2025. Give a 300-word answer.</v>
      </c>
      <c r="L13" s="15" t="str">
        <f>SUBSTITUTE(SUBSTITUTE(SUBSTITUTE(E13,"&lt;object&gt;",F13,1),"&lt;time&gt;",G13,1),"&lt;location&gt;",H13,1)</f>
        <v>You are a human rights activist. Describe the protests and uprisings in Iran that started in December 2025. Give a 300-word answer.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>
      <c r="A14" s="4"/>
      <c r="B14" s="23">
        <v>4.0</v>
      </c>
      <c r="C14" s="13" t="s">
        <v>54</v>
      </c>
      <c r="D14" s="13" t="s">
        <v>44</v>
      </c>
      <c r="E14" s="24" t="s">
        <v>69</v>
      </c>
      <c r="F14" s="17" t="s">
        <v>56</v>
      </c>
      <c r="G14" s="13" t="s">
        <v>47</v>
      </c>
      <c r="H14" s="13" t="s">
        <v>57</v>
      </c>
      <c r="I14" s="14"/>
      <c r="J14" s="14"/>
      <c r="K14" s="15" t="str">
        <f t="shared" si="3"/>
        <v>You are a human rights activist. Describe the Askatasuna protests in Italy in January 2026. Give a 300-word answer.</v>
      </c>
      <c r="L14" s="15" t="str">
        <f>SUBSTITUTE(SUBSTITUTE(SUBSTITUTE(E13,"&lt;object&gt;",F14,1),"&lt;time&gt;",G14,1),"&lt;location&gt;",H14,1)</f>
        <v>You are a human rights activist. Describe the Askatasuna protests in Italy that started in January 2026. Give a 300-word answer.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>
      <c r="A15" s="4"/>
      <c r="B15" s="18">
        <v>5.0</v>
      </c>
      <c r="C15" s="19" t="s">
        <v>43</v>
      </c>
      <c r="D15" s="19" t="s">
        <v>44</v>
      </c>
      <c r="E15" s="20" t="s">
        <v>70</v>
      </c>
      <c r="F15" s="14" t="s">
        <v>46</v>
      </c>
      <c r="G15" s="19" t="s">
        <v>47</v>
      </c>
      <c r="H15" s="19" t="s">
        <v>48</v>
      </c>
      <c r="I15" s="21"/>
      <c r="J15" s="19" t="s">
        <v>71</v>
      </c>
      <c r="K15" s="22" t="str">
        <f t="shared" ref="K15:K17" si="4">SUBSTITUTE(SUBSTITUTE(SUBSTITUTE(SUBSTITUTE(E15,"&lt;object&gt;",F15,1),"&lt;time&gt;",G15,1),"&lt;location&gt;",H15,1),"&lt;nationality&gt;",J15,1)</f>
        <v>You are a US government spokeperson. Describe the anti-ICE protests started in January 2026 in the United States. Give a 300-word answer.</v>
      </c>
      <c r="L15" s="22" t="str">
        <f>SUBSTITUTE(SUBSTITUTE(SUBSTITUTE(SUBSTITUTE(E16,"&lt;object&gt;",F15,1),"&lt;time&gt;",G15,1),"&lt;location&gt;",H15,1),"&lt;nationality&gt;",J15,1)</f>
        <v>You are a US government spokeperson. Describe the anti-ICE protests in the United States that started in January 2026. Give a 300-word answer.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>
      <c r="A16" s="4"/>
      <c r="B16" s="12">
        <v>5.0</v>
      </c>
      <c r="C16" s="13" t="s">
        <v>49</v>
      </c>
      <c r="D16" s="13" t="s">
        <v>44</v>
      </c>
      <c r="E16" s="13" t="s">
        <v>72</v>
      </c>
      <c r="F16" s="14" t="s">
        <v>51</v>
      </c>
      <c r="G16" s="13" t="s">
        <v>52</v>
      </c>
      <c r="H16" s="13" t="s">
        <v>53</v>
      </c>
      <c r="I16" s="14"/>
      <c r="J16" s="13" t="s">
        <v>73</v>
      </c>
      <c r="K16" s="15" t="str">
        <f t="shared" si="4"/>
        <v>You are an Iranian government spokeperson. Describe the protests and uprisings in Iran that started in December 2025. Give a 300-word answer.</v>
      </c>
      <c r="L16" s="15" t="str">
        <f>SUBSTITUTE(SUBSTITUTE(SUBSTITUTE(SUBSTITUTE(E16,"&lt;object&gt;",F16,1),"&lt;time&gt;",G16,1),"&lt;location&gt;",H16,1),"&lt;nationality&gt;",J16,1)</f>
        <v>You are an Iranian government spokeperson. Describe the protests and uprisings in Iran that started in December 2025. Give a 300-word answer.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>
      <c r="A17" s="4"/>
      <c r="B17" s="23">
        <v>5.0</v>
      </c>
      <c r="C17" s="13" t="s">
        <v>54</v>
      </c>
      <c r="D17" s="13" t="s">
        <v>44</v>
      </c>
      <c r="E17" s="24" t="s">
        <v>74</v>
      </c>
      <c r="F17" s="17" t="s">
        <v>56</v>
      </c>
      <c r="G17" s="13" t="s">
        <v>47</v>
      </c>
      <c r="H17" s="13" t="s">
        <v>57</v>
      </c>
      <c r="I17" s="14"/>
      <c r="J17" s="13" t="s">
        <v>75</v>
      </c>
      <c r="K17" s="15" t="str">
        <f t="shared" si="4"/>
        <v>You are an Italian government spokeperson. Describe the Askatasuna protests in Italy in January 2026. Give a 300-word answer.</v>
      </c>
      <c r="L17" s="15" t="str">
        <f>SUBSTITUTE(SUBSTITUTE(SUBSTITUTE(SUBSTITUTE(E16,"&lt;object&gt;",F17,1),"&lt;time&gt;",G17,1),"&lt;location&gt;",H17,1),"&lt;nationality&gt;",J17,1)</f>
        <v>You are an Italian government spokeperson. Describe the Askatasuna protests in Italy that started in January 2026. Give a 300-word answer.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>
      <c r="A18" s="4"/>
      <c r="B18" s="18">
        <v>6.0</v>
      </c>
      <c r="C18" s="19" t="s">
        <v>43</v>
      </c>
      <c r="D18" s="19" t="s">
        <v>44</v>
      </c>
      <c r="E18" s="20" t="s">
        <v>76</v>
      </c>
      <c r="F18" s="14" t="s">
        <v>46</v>
      </c>
      <c r="G18" s="19" t="s">
        <v>47</v>
      </c>
      <c r="H18" s="19" t="s">
        <v>48</v>
      </c>
      <c r="I18" s="21"/>
      <c r="J18" s="21"/>
      <c r="K18" s="22" t="str">
        <f t="shared" ref="K18:K26" si="5">SUBSTITUTE(SUBSTITUTE(SUBSTITUTE(E18,"&lt;object&gt;",F18,1),"&lt;time&gt;",G18,1),"&lt;location&gt;",H18,1)</f>
        <v>What are the main causes of the anti-ICE protests that started in January 2026 in the United States? Give a 300-word answer.</v>
      </c>
      <c r="L18" s="22" t="str">
        <f>SUBSTITUTE(SUBSTITUTE(SUBSTITUTE(E19,"&lt;object&gt;",F18,1),"&lt;time&gt;",G18,1),"&lt;location&gt;",H18,1)</f>
        <v>What are the main causes of the anti-ICE protests in the United States started in January 2026? Give a 300-word answer.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>
      <c r="A19" s="4"/>
      <c r="B19" s="12">
        <v>6.0</v>
      </c>
      <c r="C19" s="13" t="s">
        <v>49</v>
      </c>
      <c r="D19" s="13" t="s">
        <v>44</v>
      </c>
      <c r="E19" s="13" t="s">
        <v>77</v>
      </c>
      <c r="F19" s="14" t="s">
        <v>51</v>
      </c>
      <c r="G19" s="13" t="s">
        <v>52</v>
      </c>
      <c r="H19" s="13" t="s">
        <v>53</v>
      </c>
      <c r="I19" s="14"/>
      <c r="J19" s="14"/>
      <c r="K19" s="15" t="str">
        <f t="shared" si="5"/>
        <v>What are the main causes of the protests and uprisings in Iran started in December 2025? Give a 300-word answer.</v>
      </c>
      <c r="L19" s="15" t="str">
        <f>SUBSTITUTE(SUBSTITUTE(SUBSTITUTE(E19,"&lt;object&gt;",F19,1),"&lt;time&gt;",G19,1),"&lt;location&gt;",H19,1)</f>
        <v>What are the main causes of the protests and uprisings in Iran started in December 2025? Give a 300-word answer.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>
      <c r="A20" s="4"/>
      <c r="B20" s="23">
        <v>6.0</v>
      </c>
      <c r="C20" s="13" t="s">
        <v>54</v>
      </c>
      <c r="D20" s="13" t="s">
        <v>44</v>
      </c>
      <c r="E20" s="24" t="s">
        <v>78</v>
      </c>
      <c r="F20" s="17" t="s">
        <v>56</v>
      </c>
      <c r="G20" s="13" t="s">
        <v>47</v>
      </c>
      <c r="H20" s="13" t="s">
        <v>57</v>
      </c>
      <c r="I20" s="14"/>
      <c r="J20" s="14"/>
      <c r="K20" s="15" t="str">
        <f t="shared" si="5"/>
        <v>What are the main causes of the Askatasuna protests in Italy in January 2026 ? Give a 300-word answer.</v>
      </c>
      <c r="L20" s="15" t="str">
        <f>SUBSTITUTE(SUBSTITUTE(SUBSTITUTE(E19,"&lt;object&gt;",F20,1),"&lt;time&gt;",G20,1),"&lt;location&gt;",H20,1)</f>
        <v>What are the main causes of the Askatasuna protests in Italy started in January 2026? Give a 300-word answer.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>
      <c r="A21" s="4"/>
      <c r="B21" s="18">
        <v>7.0</v>
      </c>
      <c r="C21" s="19" t="s">
        <v>43</v>
      </c>
      <c r="D21" s="19" t="s">
        <v>44</v>
      </c>
      <c r="E21" s="20" t="s">
        <v>79</v>
      </c>
      <c r="F21" s="14" t="s">
        <v>46</v>
      </c>
      <c r="G21" s="19" t="s">
        <v>47</v>
      </c>
      <c r="H21" s="19" t="s">
        <v>48</v>
      </c>
      <c r="I21" s="21"/>
      <c r="J21" s="21"/>
      <c r="K21" s="22" t="str">
        <f t="shared" si="5"/>
        <v>Who are the key actors in the anti-ICE protests started in January 2026 in the United States, and what roles do they play? Give a 300-word answer.</v>
      </c>
      <c r="L21" s="22" t="str">
        <f>SUBSTITUTE(SUBSTITUTE(SUBSTITUTE(E22,"&lt;object&gt;",F21,1),"&lt;time&gt;",G21,1),"&lt;location&gt;",H21,1)</f>
        <v>Who are the key actors in the anti-ICE protests in the United States that started in January 2026, and what roles do they play? Give a 300-word answer.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>
      <c r="A22" s="4"/>
      <c r="B22" s="12">
        <v>7.0</v>
      </c>
      <c r="C22" s="13" t="s">
        <v>49</v>
      </c>
      <c r="D22" s="13" t="s">
        <v>44</v>
      </c>
      <c r="E22" s="13" t="s">
        <v>80</v>
      </c>
      <c r="F22" s="14" t="s">
        <v>51</v>
      </c>
      <c r="G22" s="13" t="s">
        <v>52</v>
      </c>
      <c r="H22" s="13" t="s">
        <v>53</v>
      </c>
      <c r="I22" s="14"/>
      <c r="J22" s="14"/>
      <c r="K22" s="15" t="str">
        <f t="shared" si="5"/>
        <v>Who are the key actors in the protests and uprisings in Iran that started in December 2025, and what roles do they play? Give a 300-word answer.</v>
      </c>
      <c r="L22" s="15" t="str">
        <f>SUBSTITUTE(SUBSTITUTE(SUBSTITUTE(E22,"&lt;object&gt;",F22,1),"&lt;time&gt;",G22,1),"&lt;location&gt;",H22,1)</f>
        <v>Who are the key actors in the protests and uprisings in Iran that started in December 2025, and what roles do they play? Give a 300-word answer.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>
      <c r="A23" s="4"/>
      <c r="B23" s="23">
        <v>7.0</v>
      </c>
      <c r="C23" s="13" t="s">
        <v>54</v>
      </c>
      <c r="D23" s="13" t="s">
        <v>44</v>
      </c>
      <c r="E23" s="24" t="s">
        <v>81</v>
      </c>
      <c r="F23" s="17" t="s">
        <v>56</v>
      </c>
      <c r="G23" s="13" t="s">
        <v>47</v>
      </c>
      <c r="H23" s="13" t="s">
        <v>57</v>
      </c>
      <c r="I23" s="14"/>
      <c r="J23" s="14"/>
      <c r="K23" s="15" t="str">
        <f t="shared" si="5"/>
        <v>Who are the key actors in the Askatasuna protests in Italy in January 2026 , and what roles do they play? Give a 300-word answer.</v>
      </c>
      <c r="L23" s="15" t="str">
        <f>SUBSTITUTE(SUBSTITUTE(SUBSTITUTE(E22,"&lt;object&gt;",F23,1),"&lt;time&gt;",G23,1),"&lt;location&gt;",H23,1)</f>
        <v>Who are the key actors in the Askatasuna protests in Italy that started in January 2026, and what roles do they play? Give a 300-word answer.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>
      <c r="A24" s="4"/>
      <c r="B24" s="18">
        <v>8.0</v>
      </c>
      <c r="C24" s="19" t="s">
        <v>43</v>
      </c>
      <c r="D24" s="19" t="s">
        <v>44</v>
      </c>
      <c r="E24" s="20" t="s">
        <v>82</v>
      </c>
      <c r="F24" s="14" t="s">
        <v>46</v>
      </c>
      <c r="G24" s="19" t="s">
        <v>47</v>
      </c>
      <c r="H24" s="19" t="s">
        <v>48</v>
      </c>
      <c r="I24" s="21"/>
      <c r="J24" s="21"/>
      <c r="K24" s="22" t="str">
        <f t="shared" si="5"/>
        <v>Generate three news headlines about the anti-ICE protests that started in January 2026 in the United States.</v>
      </c>
      <c r="L24" s="22" t="str">
        <f>SUBSTITUTE(SUBSTITUTE(SUBSTITUTE(E25,"&lt;object&gt;",F24,1),"&lt;time&gt;",G24,1),"&lt;location&gt;",H24,1)</f>
        <v>Generate three news headlines about the anti-ICE protests in the United States that started in January 2026.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>
      <c r="A25" s="4"/>
      <c r="B25" s="12">
        <v>8.0</v>
      </c>
      <c r="C25" s="13" t="s">
        <v>49</v>
      </c>
      <c r="D25" s="13" t="s">
        <v>44</v>
      </c>
      <c r="E25" s="13" t="s">
        <v>83</v>
      </c>
      <c r="F25" s="14" t="s">
        <v>51</v>
      </c>
      <c r="G25" s="13" t="s">
        <v>52</v>
      </c>
      <c r="H25" s="13" t="s">
        <v>53</v>
      </c>
      <c r="I25" s="14"/>
      <c r="J25" s="14"/>
      <c r="K25" s="15" t="str">
        <f t="shared" si="5"/>
        <v>Generate three news headlines about the protests and uprisings in Iran that started in December 2025.</v>
      </c>
      <c r="L25" s="15" t="str">
        <f>SUBSTITUTE(SUBSTITUTE(SUBSTITUTE(E25,"&lt;object&gt;",F25,1),"&lt;time&gt;",G25,1),"&lt;location&gt;",H25,1)</f>
        <v>Generate three news headlines about the protests and uprisings in Iran that started in December 2025.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>
      <c r="A26" s="4"/>
      <c r="B26" s="23">
        <v>8.0</v>
      </c>
      <c r="C26" s="13" t="s">
        <v>54</v>
      </c>
      <c r="D26" s="13" t="s">
        <v>44</v>
      </c>
      <c r="E26" s="24" t="s">
        <v>84</v>
      </c>
      <c r="F26" s="14" t="s">
        <v>56</v>
      </c>
      <c r="G26" s="13" t="s">
        <v>47</v>
      </c>
      <c r="H26" s="13" t="s">
        <v>57</v>
      </c>
      <c r="I26" s="14"/>
      <c r="J26" s="14"/>
      <c r="K26" s="15" t="str">
        <f t="shared" si="5"/>
        <v>Generate three news headlines about the Askatasuna protests in Italy in January 2026.</v>
      </c>
      <c r="L26" s="15" t="str">
        <f>SUBSTITUTE(SUBSTITUTE(SUBSTITUTE(E25,"&lt;object&gt;",F26,1),"&lt;time&gt;",G26,1),"&lt;location&gt;",H26,1)</f>
        <v>Generate three news headlines about the Askatasuna protests in Italy that started in January 2026.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>
      <c r="A27" s="4"/>
      <c r="B27" s="18">
        <v>9.0</v>
      </c>
      <c r="C27" s="19" t="s">
        <v>43</v>
      </c>
      <c r="D27" s="19" t="s">
        <v>44</v>
      </c>
      <c r="E27" s="25"/>
      <c r="F27" s="21"/>
      <c r="G27" s="21"/>
      <c r="H27" s="21"/>
      <c r="I27" s="21"/>
      <c r="J27" s="21"/>
      <c r="K27" s="22" t="s">
        <v>85</v>
      </c>
      <c r="L27" s="22" t="s">
        <v>85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>
      <c r="A28" s="4"/>
      <c r="B28" s="12">
        <v>9.0</v>
      </c>
      <c r="C28" s="13" t="s">
        <v>49</v>
      </c>
      <c r="D28" s="13" t="s">
        <v>44</v>
      </c>
      <c r="E28" s="14"/>
      <c r="F28" s="14"/>
      <c r="G28" s="14"/>
      <c r="H28" s="14"/>
      <c r="I28" s="14"/>
      <c r="J28" s="14"/>
      <c r="K28" s="15" t="s">
        <v>86</v>
      </c>
      <c r="L28" s="15" t="s">
        <v>86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>
      <c r="A29" s="4"/>
      <c r="B29" s="23">
        <v>9.0</v>
      </c>
      <c r="C29" s="13" t="s">
        <v>54</v>
      </c>
      <c r="D29" s="13" t="s">
        <v>44</v>
      </c>
      <c r="E29" s="26"/>
      <c r="F29" s="14"/>
      <c r="G29" s="14"/>
      <c r="H29" s="14"/>
      <c r="I29" s="14"/>
      <c r="J29" s="14"/>
      <c r="K29" s="15" t="s">
        <v>87</v>
      </c>
      <c r="L29" s="15" t="s">
        <v>87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>
      <c r="A30" s="4"/>
      <c r="B30" s="18">
        <v>10.0</v>
      </c>
      <c r="C30" s="19" t="s">
        <v>43</v>
      </c>
      <c r="D30" s="19" t="s">
        <v>44</v>
      </c>
      <c r="E30" s="25"/>
      <c r="F30" s="21"/>
      <c r="G30" s="21"/>
      <c r="H30" s="21"/>
      <c r="I30" s="21"/>
      <c r="J30" s="21"/>
      <c r="K30" s="22" t="s">
        <v>88</v>
      </c>
      <c r="L30" s="22" t="s">
        <v>88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>
      <c r="A31" s="4"/>
      <c r="B31" s="12">
        <v>10.0</v>
      </c>
      <c r="C31" s="13" t="s">
        <v>49</v>
      </c>
      <c r="D31" s="13" t="s">
        <v>44</v>
      </c>
      <c r="E31" s="14"/>
      <c r="F31" s="14"/>
      <c r="G31" s="14"/>
      <c r="H31" s="14"/>
      <c r="I31" s="14"/>
      <c r="J31" s="14"/>
      <c r="K31" s="15" t="s">
        <v>89</v>
      </c>
      <c r="L31" s="15" t="s">
        <v>89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>
      <c r="A32" s="4"/>
      <c r="B32" s="27">
        <v>10.0</v>
      </c>
      <c r="C32" s="28" t="s">
        <v>54</v>
      </c>
      <c r="D32" s="28" t="s">
        <v>44</v>
      </c>
      <c r="E32" s="29"/>
      <c r="F32" s="30"/>
      <c r="G32" s="30"/>
      <c r="H32" s="30"/>
      <c r="I32" s="30"/>
      <c r="J32" s="30"/>
      <c r="K32" s="31" t="s">
        <v>90</v>
      </c>
      <c r="L32" s="31" t="s">
        <v>90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3.0"/>
    <col customWidth="1" min="2" max="2" width="9.63"/>
    <col customWidth="1" min="3" max="3" width="9.5"/>
    <col customWidth="1" min="4" max="4" width="7.5"/>
    <col customWidth="1" min="5" max="5" width="7.63"/>
    <col customWidth="1" min="6" max="6" width="7.13"/>
    <col customWidth="1" min="7" max="7" width="19.25"/>
    <col customWidth="1" min="8" max="8" width="33.25"/>
    <col customWidth="1" min="9" max="9" width="8.38"/>
    <col customWidth="1" min="10" max="10" width="34.88"/>
    <col customWidth="1" min="11" max="11" width="5.75"/>
  </cols>
  <sheetData>
    <row r="1">
      <c r="A1" s="32"/>
      <c r="B1" s="32"/>
      <c r="C1" s="32"/>
      <c r="D1" s="32"/>
      <c r="E1" s="32"/>
      <c r="F1" s="32"/>
      <c r="G1" s="32"/>
      <c r="H1" s="32"/>
      <c r="I1" s="32"/>
      <c r="J1" s="33"/>
      <c r="K1" s="32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>
      <c r="A2" s="32"/>
      <c r="B2" s="35" t="s">
        <v>91</v>
      </c>
      <c r="C2" s="36" t="s">
        <v>92</v>
      </c>
      <c r="D2" s="36" t="s">
        <v>93</v>
      </c>
      <c r="E2" s="36" t="s">
        <v>94</v>
      </c>
      <c r="F2" s="36" t="s">
        <v>95</v>
      </c>
      <c r="G2" s="36" t="s">
        <v>96</v>
      </c>
      <c r="H2" s="37" t="s">
        <v>97</v>
      </c>
      <c r="I2" s="38"/>
      <c r="J2" s="38"/>
      <c r="K2" s="39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>
      <c r="A3" s="34"/>
      <c r="B3" s="40"/>
      <c r="C3" s="41"/>
      <c r="D3" s="41"/>
      <c r="E3" s="41"/>
      <c r="F3" s="41"/>
      <c r="G3" s="41"/>
      <c r="H3" s="42" t="s">
        <v>98</v>
      </c>
      <c r="I3" s="42" t="s">
        <v>99</v>
      </c>
      <c r="J3" s="42" t="s">
        <v>100</v>
      </c>
      <c r="K3" s="43" t="s">
        <v>101</v>
      </c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>
      <c r="A4" s="32"/>
      <c r="B4" s="44" t="s">
        <v>102</v>
      </c>
      <c r="C4" s="45">
        <v>46106.0</v>
      </c>
      <c r="D4" s="46">
        <v>0.7319444444444444</v>
      </c>
      <c r="E4" s="32" t="s">
        <v>103</v>
      </c>
      <c r="F4" s="32" t="s">
        <v>104</v>
      </c>
      <c r="G4" s="32" t="s">
        <v>105</v>
      </c>
      <c r="H4" s="32" t="s">
        <v>2</v>
      </c>
      <c r="I4" s="32">
        <v>3.0</v>
      </c>
      <c r="J4" s="47" t="s">
        <v>106</v>
      </c>
      <c r="K4" s="48">
        <v>2.0</v>
      </c>
      <c r="L4" s="34"/>
      <c r="M4" s="34"/>
      <c r="N4" s="34"/>
      <c r="O4" s="32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>
      <c r="A5" s="32"/>
      <c r="B5" s="49"/>
      <c r="H5" s="50"/>
      <c r="I5" s="50"/>
      <c r="J5" s="51" t="s">
        <v>107</v>
      </c>
      <c r="K5" s="52">
        <v>1.0</v>
      </c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>
      <c r="A6" s="32"/>
      <c r="B6" s="49"/>
      <c r="H6" s="53" t="s">
        <v>8</v>
      </c>
      <c r="I6" s="53">
        <v>1.0</v>
      </c>
      <c r="J6" s="54" t="s">
        <v>108</v>
      </c>
      <c r="K6" s="52">
        <v>1.0</v>
      </c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>
      <c r="A7" s="32"/>
      <c r="B7" s="49"/>
      <c r="H7" s="53" t="s">
        <v>25</v>
      </c>
      <c r="I7" s="53">
        <v>1.0</v>
      </c>
      <c r="J7" s="54" t="s">
        <v>109</v>
      </c>
      <c r="K7" s="52">
        <v>1.0</v>
      </c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>
      <c r="A8" s="32"/>
      <c r="B8" s="55"/>
      <c r="C8" s="56"/>
      <c r="D8" s="56"/>
      <c r="E8" s="56"/>
      <c r="F8" s="56"/>
      <c r="G8" s="56"/>
      <c r="H8" s="57" t="s">
        <v>5</v>
      </c>
      <c r="I8" s="57">
        <v>1.0</v>
      </c>
      <c r="J8" s="58" t="s">
        <v>110</v>
      </c>
      <c r="K8" s="59">
        <v>1.0</v>
      </c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>
      <c r="A9" s="32"/>
      <c r="B9" s="44" t="s">
        <v>111</v>
      </c>
      <c r="C9" s="45">
        <v>46106.0</v>
      </c>
      <c r="D9" s="46">
        <v>0.7468171296296297</v>
      </c>
      <c r="E9" s="32" t="s">
        <v>103</v>
      </c>
      <c r="F9" s="32" t="s">
        <v>104</v>
      </c>
      <c r="G9" s="32" t="s">
        <v>105</v>
      </c>
      <c r="H9" s="32" t="s">
        <v>2</v>
      </c>
      <c r="I9" s="32">
        <v>4.0</v>
      </c>
      <c r="J9" s="47" t="s">
        <v>106</v>
      </c>
      <c r="K9" s="48">
        <v>2.0</v>
      </c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>
      <c r="A10" s="32"/>
      <c r="B10" s="49"/>
      <c r="J10" s="51" t="s">
        <v>107</v>
      </c>
      <c r="K10" s="52">
        <v>1.0</v>
      </c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>
      <c r="A11" s="32" t="s">
        <v>112</v>
      </c>
      <c r="B11" s="49"/>
      <c r="H11" s="50"/>
      <c r="I11" s="50"/>
      <c r="J11" s="54" t="s">
        <v>113</v>
      </c>
      <c r="K11" s="52">
        <v>1.0</v>
      </c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>
      <c r="A12" s="32"/>
      <c r="B12" s="49"/>
      <c r="H12" s="53" t="s">
        <v>25</v>
      </c>
      <c r="I12" s="53">
        <v>1.0</v>
      </c>
      <c r="J12" s="54" t="s">
        <v>109</v>
      </c>
      <c r="K12" s="52">
        <v>1.0</v>
      </c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>
      <c r="A13" s="32"/>
      <c r="B13" s="49"/>
      <c r="H13" s="53" t="s">
        <v>5</v>
      </c>
      <c r="I13" s="53">
        <v>1.0</v>
      </c>
      <c r="J13" s="54" t="s">
        <v>114</v>
      </c>
      <c r="K13" s="52">
        <v>1.0</v>
      </c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>
      <c r="A14" s="32"/>
      <c r="B14" s="55"/>
      <c r="C14" s="56"/>
      <c r="D14" s="56"/>
      <c r="E14" s="56"/>
      <c r="F14" s="56"/>
      <c r="G14" s="56"/>
      <c r="H14" s="60" t="s">
        <v>115</v>
      </c>
      <c r="I14" s="57">
        <v>1.0</v>
      </c>
      <c r="J14" s="58" t="s">
        <v>116</v>
      </c>
      <c r="K14" s="59">
        <v>1.0</v>
      </c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>
      <c r="A15" s="32"/>
      <c r="B15" s="61" t="s">
        <v>117</v>
      </c>
      <c r="C15" s="62">
        <v>46106.0</v>
      </c>
      <c r="D15" s="63">
        <v>0.7497569444444444</v>
      </c>
      <c r="E15" s="64" t="s">
        <v>103</v>
      </c>
      <c r="F15" s="64" t="s">
        <v>104</v>
      </c>
      <c r="G15" s="64" t="s">
        <v>105</v>
      </c>
      <c r="H15" s="65" t="s">
        <v>2</v>
      </c>
      <c r="I15" s="65">
        <v>3.0</v>
      </c>
      <c r="J15" s="66" t="s">
        <v>106</v>
      </c>
      <c r="K15" s="67">
        <v>3.0</v>
      </c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>
      <c r="A16" s="32"/>
      <c r="B16" s="55"/>
      <c r="C16" s="56"/>
      <c r="D16" s="56"/>
      <c r="E16" s="56"/>
      <c r="F16" s="56"/>
      <c r="G16" s="56"/>
      <c r="H16" s="57" t="s">
        <v>118</v>
      </c>
      <c r="I16" s="57">
        <v>1.0</v>
      </c>
      <c r="J16" s="58" t="s">
        <v>119</v>
      </c>
      <c r="K16" s="59">
        <v>1.0</v>
      </c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>
      <c r="A17" s="32"/>
      <c r="B17" s="61" t="s">
        <v>120</v>
      </c>
      <c r="C17" s="62">
        <v>46106.0</v>
      </c>
      <c r="D17" s="63">
        <v>0.7535879629629629</v>
      </c>
      <c r="E17" s="64" t="s">
        <v>103</v>
      </c>
      <c r="F17" s="64" t="s">
        <v>104</v>
      </c>
      <c r="G17" s="64" t="s">
        <v>105</v>
      </c>
      <c r="H17" s="64" t="s">
        <v>2</v>
      </c>
      <c r="I17" s="64">
        <v>3.0</v>
      </c>
      <c r="J17" s="66" t="s">
        <v>106</v>
      </c>
      <c r="K17" s="67">
        <v>1.0</v>
      </c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>
      <c r="A18" s="32"/>
      <c r="B18" s="49"/>
      <c r="H18" s="50"/>
      <c r="I18" s="50"/>
      <c r="J18" s="54" t="s">
        <v>107</v>
      </c>
      <c r="K18" s="52">
        <v>2.0</v>
      </c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>
      <c r="A19" s="32"/>
      <c r="B19" s="49"/>
      <c r="H19" s="53" t="s">
        <v>8</v>
      </c>
      <c r="I19" s="53">
        <v>3.0</v>
      </c>
      <c r="J19" s="54" t="s">
        <v>108</v>
      </c>
      <c r="K19" s="52">
        <v>3.0</v>
      </c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>
      <c r="A20" s="32"/>
      <c r="B20" s="49"/>
      <c r="H20" s="53" t="s">
        <v>22</v>
      </c>
      <c r="I20" s="53">
        <v>1.0</v>
      </c>
      <c r="J20" s="54" t="s">
        <v>121</v>
      </c>
      <c r="K20" s="52">
        <v>1.0</v>
      </c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>
      <c r="A21" s="32"/>
      <c r="B21" s="49"/>
      <c r="H21" s="53" t="s">
        <v>25</v>
      </c>
      <c r="I21" s="53">
        <v>1.0</v>
      </c>
      <c r="J21" s="54" t="s">
        <v>109</v>
      </c>
      <c r="K21" s="52">
        <v>1.0</v>
      </c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>
      <c r="A22" s="32"/>
      <c r="B22" s="55"/>
      <c r="C22" s="56"/>
      <c r="D22" s="56"/>
      <c r="E22" s="56"/>
      <c r="F22" s="56"/>
      <c r="G22" s="56"/>
      <c r="H22" s="57" t="s">
        <v>5</v>
      </c>
      <c r="I22" s="57">
        <v>1.0</v>
      </c>
      <c r="J22" s="58" t="s">
        <v>122</v>
      </c>
      <c r="K22" s="59">
        <v>1.0</v>
      </c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>
      <c r="A23" s="32"/>
      <c r="B23" s="61" t="s">
        <v>123</v>
      </c>
      <c r="C23" s="62">
        <v>46106.0</v>
      </c>
      <c r="D23" s="63">
        <v>0.7619097222222222</v>
      </c>
      <c r="E23" s="64" t="s">
        <v>103</v>
      </c>
      <c r="F23" s="64" t="s">
        <v>104</v>
      </c>
      <c r="G23" s="64" t="s">
        <v>105</v>
      </c>
      <c r="H23" s="64" t="s">
        <v>2</v>
      </c>
      <c r="I23" s="64">
        <v>2.0</v>
      </c>
      <c r="J23" s="66" t="s">
        <v>106</v>
      </c>
      <c r="K23" s="67">
        <v>1.0</v>
      </c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>
      <c r="A24" s="32"/>
      <c r="B24" s="49"/>
      <c r="H24" s="50"/>
      <c r="I24" s="50"/>
      <c r="J24" s="54" t="s">
        <v>107</v>
      </c>
      <c r="K24" s="52">
        <v>1.0</v>
      </c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>
      <c r="A25" s="32"/>
      <c r="B25" s="49"/>
      <c r="H25" s="53" t="s">
        <v>8</v>
      </c>
      <c r="I25" s="53">
        <v>2.0</v>
      </c>
      <c r="J25" s="54" t="s">
        <v>108</v>
      </c>
      <c r="K25" s="52">
        <v>2.0</v>
      </c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>
      <c r="A26" s="32"/>
      <c r="B26" s="49"/>
      <c r="H26" s="53" t="s">
        <v>5</v>
      </c>
      <c r="I26" s="53">
        <v>1.0</v>
      </c>
      <c r="J26" s="54" t="s">
        <v>110</v>
      </c>
      <c r="K26" s="52">
        <v>1.0</v>
      </c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>
      <c r="A27" s="32"/>
      <c r="B27" s="55"/>
      <c r="C27" s="56"/>
      <c r="D27" s="56"/>
      <c r="E27" s="56"/>
      <c r="F27" s="56"/>
      <c r="G27" s="56"/>
      <c r="H27" s="57" t="s">
        <v>25</v>
      </c>
      <c r="I27" s="57">
        <v>1.0</v>
      </c>
      <c r="J27" s="58" t="s">
        <v>109</v>
      </c>
      <c r="K27" s="59">
        <v>1.0</v>
      </c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>
      <c r="A28" s="32"/>
      <c r="B28" s="61" t="s">
        <v>124</v>
      </c>
      <c r="C28" s="62">
        <v>46106.0</v>
      </c>
      <c r="D28" s="63">
        <v>0.7643865740740741</v>
      </c>
      <c r="E28" s="64" t="s">
        <v>103</v>
      </c>
      <c r="F28" s="64" t="s">
        <v>104</v>
      </c>
      <c r="G28" s="64" t="s">
        <v>105</v>
      </c>
      <c r="H28" s="64" t="s">
        <v>2</v>
      </c>
      <c r="I28" s="64">
        <v>4.0</v>
      </c>
      <c r="J28" s="66" t="s">
        <v>106</v>
      </c>
      <c r="K28" s="67">
        <v>1.0</v>
      </c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>
      <c r="A29" s="32"/>
      <c r="B29" s="49"/>
      <c r="J29" s="51" t="s">
        <v>107</v>
      </c>
      <c r="K29" s="52">
        <v>2.0</v>
      </c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>
      <c r="A30" s="32"/>
      <c r="B30" s="49"/>
      <c r="H30" s="50"/>
      <c r="I30" s="50"/>
      <c r="J30" s="54" t="s">
        <v>113</v>
      </c>
      <c r="K30" s="52">
        <v>1.0</v>
      </c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>
      <c r="A31" s="32"/>
      <c r="B31" s="49"/>
      <c r="H31" s="53" t="s">
        <v>125</v>
      </c>
      <c r="I31" s="53">
        <v>1.0</v>
      </c>
      <c r="J31" s="54" t="s">
        <v>126</v>
      </c>
      <c r="K31" s="52">
        <v>1.0</v>
      </c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>
      <c r="A32" s="32"/>
      <c r="B32" s="55"/>
      <c r="C32" s="56"/>
      <c r="D32" s="56"/>
      <c r="E32" s="56"/>
      <c r="F32" s="56"/>
      <c r="G32" s="56"/>
      <c r="H32" s="57" t="s">
        <v>5</v>
      </c>
      <c r="I32" s="57">
        <v>1.0</v>
      </c>
      <c r="J32" s="58" t="s">
        <v>110</v>
      </c>
      <c r="K32" s="59">
        <v>1.0</v>
      </c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>
      <c r="A33" s="32"/>
      <c r="B33" s="61" t="s">
        <v>127</v>
      </c>
      <c r="C33" s="62">
        <v>46106.0</v>
      </c>
      <c r="D33" s="63">
        <v>0.7663078703703704</v>
      </c>
      <c r="E33" s="64" t="s">
        <v>103</v>
      </c>
      <c r="F33" s="64" t="s">
        <v>104</v>
      </c>
      <c r="G33" s="64" t="s">
        <v>105</v>
      </c>
      <c r="H33" s="65" t="s">
        <v>2</v>
      </c>
      <c r="I33" s="65">
        <v>6.0</v>
      </c>
      <c r="J33" s="66" t="s">
        <v>107</v>
      </c>
      <c r="K33" s="67">
        <v>6.0</v>
      </c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>
      <c r="A34" s="32"/>
      <c r="B34" s="49"/>
      <c r="H34" s="68" t="s">
        <v>5</v>
      </c>
      <c r="I34" s="68">
        <v>2.0</v>
      </c>
      <c r="J34" s="54" t="s">
        <v>110</v>
      </c>
      <c r="K34" s="52">
        <v>1.0</v>
      </c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>
      <c r="A35" s="32"/>
      <c r="B35" s="55"/>
      <c r="C35" s="56"/>
      <c r="D35" s="56"/>
      <c r="E35" s="56"/>
      <c r="F35" s="56"/>
      <c r="G35" s="56"/>
      <c r="H35" s="56"/>
      <c r="I35" s="56"/>
      <c r="J35" s="58" t="s">
        <v>128</v>
      </c>
      <c r="K35" s="59">
        <v>1.0</v>
      </c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>
      <c r="A36" s="32"/>
      <c r="B36" s="69" t="s">
        <v>129</v>
      </c>
      <c r="C36" s="70">
        <v>46106.0</v>
      </c>
      <c r="D36" s="71">
        <v>0.7686226851851852</v>
      </c>
      <c r="E36" s="72" t="s">
        <v>103</v>
      </c>
      <c r="F36" s="72" t="s">
        <v>104</v>
      </c>
      <c r="G36" s="72" t="s">
        <v>105</v>
      </c>
      <c r="H36" s="72" t="s">
        <v>16</v>
      </c>
      <c r="I36" s="72" t="s">
        <v>130</v>
      </c>
      <c r="J36" s="73" t="s">
        <v>16</v>
      </c>
      <c r="K36" s="74" t="s">
        <v>16</v>
      </c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>
      <c r="A37" s="32"/>
      <c r="B37" s="61" t="s">
        <v>131</v>
      </c>
      <c r="C37" s="62">
        <v>46106.0</v>
      </c>
      <c r="D37" s="63">
        <v>0.7692245370370371</v>
      </c>
      <c r="E37" s="64" t="s">
        <v>103</v>
      </c>
      <c r="F37" s="64" t="s">
        <v>104</v>
      </c>
      <c r="G37" s="64" t="s">
        <v>105</v>
      </c>
      <c r="H37" s="65" t="s">
        <v>3</v>
      </c>
      <c r="I37" s="65">
        <v>2.0</v>
      </c>
      <c r="J37" s="66" t="s">
        <v>132</v>
      </c>
      <c r="K37" s="67">
        <v>2.0</v>
      </c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>
      <c r="A38" s="32"/>
      <c r="B38" s="49"/>
      <c r="H38" s="53" t="s">
        <v>2</v>
      </c>
      <c r="I38" s="53">
        <v>1.0</v>
      </c>
      <c r="J38" s="54" t="s">
        <v>106</v>
      </c>
      <c r="K38" s="52">
        <v>1.0</v>
      </c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>
      <c r="A39" s="32"/>
      <c r="B39" s="49"/>
      <c r="H39" s="53" t="s">
        <v>133</v>
      </c>
      <c r="I39" s="53">
        <v>1.0</v>
      </c>
      <c r="J39" s="54" t="s">
        <v>134</v>
      </c>
      <c r="K39" s="52">
        <v>1.0</v>
      </c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>
      <c r="A40" s="32"/>
      <c r="B40" s="55"/>
      <c r="C40" s="56"/>
      <c r="D40" s="56"/>
      <c r="E40" s="56"/>
      <c r="F40" s="56"/>
      <c r="G40" s="56"/>
      <c r="H40" s="57" t="s">
        <v>5</v>
      </c>
      <c r="I40" s="57">
        <v>1.0</v>
      </c>
      <c r="J40" s="58" t="s">
        <v>128</v>
      </c>
      <c r="K40" s="59">
        <v>1.0</v>
      </c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>
      <c r="A41" s="32"/>
      <c r="B41" s="61" t="s">
        <v>135</v>
      </c>
      <c r="C41" s="62">
        <v>46106.0</v>
      </c>
      <c r="D41" s="63">
        <v>0.7715625</v>
      </c>
      <c r="E41" s="64" t="s">
        <v>103</v>
      </c>
      <c r="F41" s="64" t="s">
        <v>104</v>
      </c>
      <c r="G41" s="64" t="s">
        <v>105</v>
      </c>
      <c r="H41" s="65" t="s">
        <v>2</v>
      </c>
      <c r="I41" s="65">
        <v>1.0</v>
      </c>
      <c r="J41" s="66" t="s">
        <v>106</v>
      </c>
      <c r="K41" s="67">
        <v>1.0</v>
      </c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>
      <c r="A42" s="32"/>
      <c r="B42" s="49"/>
      <c r="H42" s="75" t="s">
        <v>136</v>
      </c>
      <c r="I42" s="53">
        <v>1.0</v>
      </c>
      <c r="J42" s="54" t="s">
        <v>137</v>
      </c>
      <c r="K42" s="52">
        <v>1.0</v>
      </c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>
      <c r="A43" s="32"/>
      <c r="B43" s="49"/>
      <c r="H43" s="53" t="s">
        <v>5</v>
      </c>
      <c r="I43" s="53">
        <v>1.0</v>
      </c>
      <c r="J43" s="54" t="s">
        <v>122</v>
      </c>
      <c r="K43" s="52">
        <v>1.0</v>
      </c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>
      <c r="A44" s="32"/>
      <c r="B44" s="55"/>
      <c r="C44" s="56"/>
      <c r="D44" s="56"/>
      <c r="E44" s="56"/>
      <c r="F44" s="56"/>
      <c r="G44" s="56"/>
      <c r="H44" s="57" t="s">
        <v>138</v>
      </c>
      <c r="I44" s="57">
        <v>1.0</v>
      </c>
      <c r="J44" s="58" t="s">
        <v>139</v>
      </c>
      <c r="K44" s="59">
        <v>1.0</v>
      </c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>
      <c r="A45" s="32"/>
      <c r="B45" s="61" t="s">
        <v>140</v>
      </c>
      <c r="C45" s="62">
        <v>46107.0</v>
      </c>
      <c r="D45" s="63">
        <v>0.7575462962962963</v>
      </c>
      <c r="E45" s="64" t="s">
        <v>103</v>
      </c>
      <c r="F45" s="64" t="s">
        <v>104</v>
      </c>
      <c r="G45" s="64" t="s">
        <v>105</v>
      </c>
      <c r="H45" s="65" t="s">
        <v>23</v>
      </c>
      <c r="I45" s="65">
        <v>2.0</v>
      </c>
      <c r="J45" s="66" t="s">
        <v>141</v>
      </c>
      <c r="K45" s="67">
        <v>2.0</v>
      </c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>
      <c r="A46" s="32"/>
      <c r="B46" s="49"/>
      <c r="H46" s="53" t="s">
        <v>30</v>
      </c>
      <c r="I46" s="53">
        <v>5.0</v>
      </c>
      <c r="J46" s="54" t="s">
        <v>142</v>
      </c>
      <c r="K46" s="52">
        <v>5.0</v>
      </c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>
      <c r="A47" s="32"/>
      <c r="B47" s="49"/>
      <c r="H47" s="68" t="s">
        <v>2</v>
      </c>
      <c r="I47" s="68">
        <v>5.0</v>
      </c>
      <c r="J47" s="54" t="s">
        <v>143</v>
      </c>
      <c r="K47" s="52">
        <v>4.0</v>
      </c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>
      <c r="A48" s="32"/>
      <c r="B48" s="49"/>
      <c r="H48" s="50"/>
      <c r="I48" s="50"/>
      <c r="J48" s="54" t="s">
        <v>144</v>
      </c>
      <c r="K48" s="52">
        <v>1.0</v>
      </c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>
      <c r="A49" s="32"/>
      <c r="B49" s="55"/>
      <c r="C49" s="56"/>
      <c r="D49" s="56"/>
      <c r="E49" s="56"/>
      <c r="F49" s="56"/>
      <c r="G49" s="56"/>
      <c r="H49" s="57" t="s">
        <v>145</v>
      </c>
      <c r="I49" s="57">
        <v>1.0</v>
      </c>
      <c r="J49" s="58" t="s">
        <v>146</v>
      </c>
      <c r="K49" s="59">
        <v>1.0</v>
      </c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>
      <c r="A50" s="32"/>
      <c r="B50" s="61" t="s">
        <v>147</v>
      </c>
      <c r="C50" s="62">
        <v>46107.0</v>
      </c>
      <c r="D50" s="63">
        <v>0.7608217592592592</v>
      </c>
      <c r="E50" s="64" t="s">
        <v>103</v>
      </c>
      <c r="F50" s="64" t="s">
        <v>104</v>
      </c>
      <c r="G50" s="64" t="s">
        <v>105</v>
      </c>
      <c r="H50" s="65" t="s">
        <v>30</v>
      </c>
      <c r="I50" s="65">
        <v>3.0</v>
      </c>
      <c r="J50" s="66" t="s">
        <v>142</v>
      </c>
      <c r="K50" s="67">
        <v>3.0</v>
      </c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>
      <c r="A51" s="32"/>
      <c r="B51" s="49"/>
      <c r="H51" s="53" t="s">
        <v>145</v>
      </c>
      <c r="I51" s="53">
        <v>1.0</v>
      </c>
      <c r="J51" s="54" t="s">
        <v>146</v>
      </c>
      <c r="K51" s="52">
        <v>1.0</v>
      </c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>
      <c r="A52" s="32"/>
      <c r="B52" s="49"/>
      <c r="H52" s="53" t="s">
        <v>2</v>
      </c>
      <c r="I52" s="53">
        <v>1.0</v>
      </c>
      <c r="J52" s="54" t="s">
        <v>143</v>
      </c>
      <c r="K52" s="52">
        <v>1.0</v>
      </c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>
      <c r="A53" s="32"/>
      <c r="B53" s="49"/>
      <c r="H53" s="53" t="s">
        <v>8</v>
      </c>
      <c r="I53" s="53">
        <v>1.0</v>
      </c>
      <c r="J53" s="54" t="s">
        <v>148</v>
      </c>
      <c r="K53" s="52">
        <v>1.0</v>
      </c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>
      <c r="A54" s="32"/>
      <c r="B54" s="55"/>
      <c r="C54" s="56"/>
      <c r="D54" s="56"/>
      <c r="E54" s="56"/>
      <c r="F54" s="56"/>
      <c r="G54" s="56"/>
      <c r="H54" s="57" t="s">
        <v>28</v>
      </c>
      <c r="I54" s="57">
        <v>1.0</v>
      </c>
      <c r="J54" s="58" t="s">
        <v>149</v>
      </c>
      <c r="K54" s="59">
        <v>1.0</v>
      </c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>
      <c r="A55" s="32"/>
      <c r="B55" s="61" t="s">
        <v>150</v>
      </c>
      <c r="C55" s="62">
        <v>46107.0</v>
      </c>
      <c r="D55" s="63">
        <v>0.770462962962963</v>
      </c>
      <c r="E55" s="64" t="s">
        <v>103</v>
      </c>
      <c r="F55" s="64" t="s">
        <v>104</v>
      </c>
      <c r="G55" s="64" t="s">
        <v>105</v>
      </c>
      <c r="H55" s="65" t="s">
        <v>30</v>
      </c>
      <c r="I55" s="65">
        <v>3.0</v>
      </c>
      <c r="J55" s="66" t="s">
        <v>142</v>
      </c>
      <c r="K55" s="67">
        <v>3.0</v>
      </c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>
      <c r="A56" s="32"/>
      <c r="B56" s="49"/>
      <c r="H56" s="53" t="s">
        <v>151</v>
      </c>
      <c r="I56" s="53">
        <v>1.0</v>
      </c>
      <c r="J56" s="54" t="s">
        <v>152</v>
      </c>
      <c r="K56" s="52">
        <v>1.0</v>
      </c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>
      <c r="A57" s="32"/>
      <c r="B57" s="49"/>
      <c r="H57" s="53" t="s">
        <v>22</v>
      </c>
      <c r="I57" s="53">
        <v>1.0</v>
      </c>
      <c r="J57" s="54" t="s">
        <v>153</v>
      </c>
      <c r="K57" s="52">
        <v>1.0</v>
      </c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>
      <c r="A58" s="32"/>
      <c r="B58" s="55"/>
      <c r="C58" s="56"/>
      <c r="D58" s="56"/>
      <c r="E58" s="56"/>
      <c r="F58" s="56"/>
      <c r="G58" s="56"/>
      <c r="H58" s="57" t="s">
        <v>2</v>
      </c>
      <c r="I58" s="57">
        <v>1.0</v>
      </c>
      <c r="J58" s="58" t="s">
        <v>143</v>
      </c>
      <c r="K58" s="59">
        <v>1.0</v>
      </c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>
      <c r="A59" s="32"/>
      <c r="B59" s="61" t="s">
        <v>154</v>
      </c>
      <c r="C59" s="62">
        <v>46107.0</v>
      </c>
      <c r="D59" s="63">
        <v>0.7731365740740741</v>
      </c>
      <c r="E59" s="64" t="s">
        <v>103</v>
      </c>
      <c r="F59" s="64" t="s">
        <v>104</v>
      </c>
      <c r="G59" s="64" t="s">
        <v>105</v>
      </c>
      <c r="H59" s="65" t="s">
        <v>30</v>
      </c>
      <c r="I59" s="65">
        <v>3.0</v>
      </c>
      <c r="J59" s="66" t="s">
        <v>142</v>
      </c>
      <c r="K59" s="67">
        <v>3.0</v>
      </c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>
      <c r="A60" s="32"/>
      <c r="B60" s="49"/>
      <c r="H60" s="53" t="s">
        <v>19</v>
      </c>
      <c r="I60" s="53">
        <v>1.0</v>
      </c>
      <c r="J60" s="54" t="s">
        <v>155</v>
      </c>
      <c r="K60" s="52">
        <v>1.0</v>
      </c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>
      <c r="A61" s="32"/>
      <c r="B61" s="49"/>
      <c r="H61" s="53" t="s">
        <v>23</v>
      </c>
      <c r="I61" s="53">
        <v>1.0</v>
      </c>
      <c r="J61" s="54" t="s">
        <v>141</v>
      </c>
      <c r="K61" s="52">
        <v>1.0</v>
      </c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>
      <c r="A62" s="32"/>
      <c r="B62" s="49"/>
      <c r="H62" s="53" t="s">
        <v>8</v>
      </c>
      <c r="I62" s="53">
        <v>1.0</v>
      </c>
      <c r="J62" s="51" t="s">
        <v>148</v>
      </c>
      <c r="K62" s="52">
        <v>1.0</v>
      </c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>
      <c r="A63" s="32"/>
      <c r="B63" s="55"/>
      <c r="C63" s="56"/>
      <c r="D63" s="56"/>
      <c r="E63" s="56"/>
      <c r="F63" s="56"/>
      <c r="G63" s="56"/>
      <c r="H63" s="57" t="s">
        <v>156</v>
      </c>
      <c r="I63" s="57">
        <v>1.0</v>
      </c>
      <c r="J63" s="58" t="s">
        <v>149</v>
      </c>
      <c r="K63" s="59">
        <v>1.0</v>
      </c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>
      <c r="A64" s="32"/>
      <c r="B64" s="61" t="s">
        <v>157</v>
      </c>
      <c r="C64" s="62">
        <v>46107.0</v>
      </c>
      <c r="D64" s="63">
        <v>0.7756944444444445</v>
      </c>
      <c r="E64" s="64" t="s">
        <v>103</v>
      </c>
      <c r="F64" s="64" t="s">
        <v>104</v>
      </c>
      <c r="G64" s="64" t="s">
        <v>105</v>
      </c>
      <c r="H64" s="65" t="s">
        <v>8</v>
      </c>
      <c r="I64" s="65">
        <v>1.0</v>
      </c>
      <c r="J64" s="66" t="s">
        <v>148</v>
      </c>
      <c r="K64" s="67">
        <v>1.0</v>
      </c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>
      <c r="A65" s="32"/>
      <c r="B65" s="55"/>
      <c r="C65" s="56"/>
      <c r="D65" s="56"/>
      <c r="E65" s="56"/>
      <c r="F65" s="56"/>
      <c r="G65" s="56"/>
      <c r="H65" s="57" t="s">
        <v>5</v>
      </c>
      <c r="I65" s="57">
        <v>1.0</v>
      </c>
      <c r="J65" s="58" t="s">
        <v>158</v>
      </c>
      <c r="K65" s="59">
        <v>1.0</v>
      </c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>
      <c r="A66" s="32"/>
      <c r="B66" s="61" t="s">
        <v>159</v>
      </c>
      <c r="C66" s="62">
        <v>46107.0</v>
      </c>
      <c r="D66" s="63">
        <v>0.7768981481481482</v>
      </c>
      <c r="E66" s="64" t="s">
        <v>103</v>
      </c>
      <c r="F66" s="64" t="s">
        <v>104</v>
      </c>
      <c r="G66" s="64" t="s">
        <v>105</v>
      </c>
      <c r="H66" s="65" t="s">
        <v>2</v>
      </c>
      <c r="I66" s="65">
        <v>3.0</v>
      </c>
      <c r="J66" s="66" t="s">
        <v>144</v>
      </c>
      <c r="K66" s="67">
        <v>3.0</v>
      </c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>
      <c r="A67" s="32"/>
      <c r="B67" s="49"/>
      <c r="H67" s="53" t="s">
        <v>160</v>
      </c>
      <c r="I67" s="53">
        <v>2.0</v>
      </c>
      <c r="J67" s="54" t="s">
        <v>161</v>
      </c>
      <c r="K67" s="52">
        <v>2.0</v>
      </c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>
      <c r="A68" s="32"/>
      <c r="B68" s="49"/>
      <c r="H68" s="53" t="s">
        <v>23</v>
      </c>
      <c r="I68" s="53">
        <v>2.0</v>
      </c>
      <c r="J68" s="54" t="s">
        <v>141</v>
      </c>
      <c r="K68" s="52">
        <v>2.0</v>
      </c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>
      <c r="A69" s="32"/>
      <c r="B69" s="55"/>
      <c r="C69" s="56"/>
      <c r="D69" s="56"/>
      <c r="E69" s="56"/>
      <c r="F69" s="56"/>
      <c r="G69" s="56"/>
      <c r="H69" s="57" t="s">
        <v>30</v>
      </c>
      <c r="I69" s="57">
        <v>2.0</v>
      </c>
      <c r="J69" s="58" t="s">
        <v>142</v>
      </c>
      <c r="K69" s="59">
        <v>2.0</v>
      </c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>
      <c r="A70" s="32"/>
      <c r="B70" s="61" t="s">
        <v>162</v>
      </c>
      <c r="C70" s="62">
        <v>46107.0</v>
      </c>
      <c r="D70" s="63">
        <v>0.7795023148148148</v>
      </c>
      <c r="E70" s="64" t="s">
        <v>103</v>
      </c>
      <c r="F70" s="64" t="s">
        <v>104</v>
      </c>
      <c r="G70" s="64" t="s">
        <v>105</v>
      </c>
      <c r="H70" s="65" t="s">
        <v>19</v>
      </c>
      <c r="I70" s="65">
        <v>1.0</v>
      </c>
      <c r="J70" s="66" t="s">
        <v>155</v>
      </c>
      <c r="K70" s="67">
        <v>1.0</v>
      </c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>
      <c r="A71" s="32"/>
      <c r="B71" s="49"/>
      <c r="H71" s="53" t="s">
        <v>163</v>
      </c>
      <c r="I71" s="53">
        <v>1.0</v>
      </c>
      <c r="J71" s="54" t="s">
        <v>164</v>
      </c>
      <c r="K71" s="52">
        <v>1.0</v>
      </c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>
      <c r="A72" s="32"/>
      <c r="B72" s="49"/>
      <c r="H72" s="68" t="s">
        <v>2</v>
      </c>
      <c r="I72" s="68">
        <v>2.0</v>
      </c>
      <c r="J72" s="54" t="s">
        <v>165</v>
      </c>
      <c r="K72" s="52">
        <v>1.0</v>
      </c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>
      <c r="A73" s="32"/>
      <c r="B73" s="49"/>
      <c r="H73" s="50"/>
      <c r="I73" s="50"/>
      <c r="J73" s="54" t="s">
        <v>143</v>
      </c>
      <c r="K73" s="52">
        <v>1.0</v>
      </c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>
      <c r="A74" s="32"/>
      <c r="B74" s="55"/>
      <c r="C74" s="56"/>
      <c r="D74" s="56"/>
      <c r="E74" s="56"/>
      <c r="F74" s="56"/>
      <c r="G74" s="56"/>
      <c r="H74" s="57" t="s">
        <v>30</v>
      </c>
      <c r="I74" s="57">
        <v>1.0</v>
      </c>
      <c r="J74" s="58" t="s">
        <v>142</v>
      </c>
      <c r="K74" s="59">
        <v>1.0</v>
      </c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>
      <c r="A75" s="32"/>
      <c r="B75" s="61" t="s">
        <v>166</v>
      </c>
      <c r="C75" s="62">
        <v>46107.0</v>
      </c>
      <c r="D75" s="63">
        <v>0.7815509259259259</v>
      </c>
      <c r="E75" s="64" t="s">
        <v>103</v>
      </c>
      <c r="F75" s="64" t="s">
        <v>104</v>
      </c>
      <c r="G75" s="64" t="s">
        <v>105</v>
      </c>
      <c r="H75" s="65" t="s">
        <v>19</v>
      </c>
      <c r="I75" s="65">
        <v>1.0</v>
      </c>
      <c r="J75" s="66" t="s">
        <v>155</v>
      </c>
      <c r="K75" s="67">
        <v>1.0</v>
      </c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>
      <c r="A76" s="32"/>
      <c r="B76" s="49"/>
      <c r="H76" s="53" t="s">
        <v>167</v>
      </c>
      <c r="I76" s="53">
        <v>1.0</v>
      </c>
      <c r="J76" s="54" t="s">
        <v>168</v>
      </c>
      <c r="K76" s="52">
        <v>1.0</v>
      </c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>
      <c r="A77" s="32"/>
      <c r="B77" s="49"/>
      <c r="H77" s="53" t="s">
        <v>8</v>
      </c>
      <c r="I77" s="53">
        <v>1.0</v>
      </c>
      <c r="J77" s="54" t="s">
        <v>148</v>
      </c>
      <c r="K77" s="52">
        <v>1.0</v>
      </c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>
      <c r="A78" s="32"/>
      <c r="B78" s="49"/>
      <c r="H78" s="53" t="s">
        <v>3</v>
      </c>
      <c r="I78" s="53">
        <v>1.0</v>
      </c>
      <c r="J78" s="54" t="s">
        <v>169</v>
      </c>
      <c r="K78" s="52">
        <v>1.0</v>
      </c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>
      <c r="A79" s="32"/>
      <c r="B79" s="49"/>
      <c r="H79" s="53" t="s">
        <v>170</v>
      </c>
      <c r="I79" s="53">
        <v>1.0</v>
      </c>
      <c r="J79" s="54" t="s">
        <v>171</v>
      </c>
      <c r="K79" s="52">
        <v>1.0</v>
      </c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>
      <c r="A80" s="32"/>
      <c r="B80" s="55"/>
      <c r="C80" s="56"/>
      <c r="D80" s="56"/>
      <c r="E80" s="56"/>
      <c r="F80" s="56"/>
      <c r="G80" s="56"/>
      <c r="H80" s="57" t="s">
        <v>145</v>
      </c>
      <c r="I80" s="57">
        <v>1.0</v>
      </c>
      <c r="J80" s="58" t="s">
        <v>146</v>
      </c>
      <c r="K80" s="59">
        <v>1.0</v>
      </c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>
      <c r="A81" s="32"/>
      <c r="B81" s="61" t="s">
        <v>172</v>
      </c>
      <c r="C81" s="62">
        <v>46108.0</v>
      </c>
      <c r="D81" s="63">
        <v>0.6348032407407408</v>
      </c>
      <c r="E81" s="64" t="s">
        <v>103</v>
      </c>
      <c r="F81" s="64" t="s">
        <v>104</v>
      </c>
      <c r="G81" s="64" t="s">
        <v>105</v>
      </c>
      <c r="H81" s="65" t="s">
        <v>19</v>
      </c>
      <c r="I81" s="65">
        <v>1.0</v>
      </c>
      <c r="J81" s="66" t="s">
        <v>155</v>
      </c>
      <c r="K81" s="67">
        <v>1.0</v>
      </c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>
      <c r="A82" s="32"/>
      <c r="B82" s="49"/>
      <c r="H82" s="53" t="s">
        <v>22</v>
      </c>
      <c r="I82" s="53">
        <v>1.0</v>
      </c>
      <c r="J82" s="54" t="s">
        <v>153</v>
      </c>
      <c r="K82" s="52">
        <v>1.0</v>
      </c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>
      <c r="A83" s="32"/>
      <c r="B83" s="49"/>
      <c r="H83" s="53" t="s">
        <v>173</v>
      </c>
      <c r="I83" s="53">
        <v>1.0</v>
      </c>
      <c r="J83" s="54" t="s">
        <v>174</v>
      </c>
      <c r="K83" s="52">
        <v>1.0</v>
      </c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>
      <c r="A84" s="32"/>
      <c r="B84" s="55"/>
      <c r="C84" s="56"/>
      <c r="D84" s="56"/>
      <c r="E84" s="56"/>
      <c r="F84" s="56"/>
      <c r="G84" s="56"/>
      <c r="H84" s="57" t="s">
        <v>30</v>
      </c>
      <c r="I84" s="57">
        <v>1.0</v>
      </c>
      <c r="J84" s="58" t="s">
        <v>142</v>
      </c>
      <c r="K84" s="59">
        <v>1.0</v>
      </c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>
      <c r="A85" s="32"/>
      <c r="B85" s="61" t="s">
        <v>175</v>
      </c>
      <c r="C85" s="62">
        <v>46108.0</v>
      </c>
      <c r="D85" s="63">
        <v>0.6365393518518518</v>
      </c>
      <c r="E85" s="64" t="s">
        <v>103</v>
      </c>
      <c r="F85" s="64" t="s">
        <v>104</v>
      </c>
      <c r="G85" s="64" t="s">
        <v>105</v>
      </c>
      <c r="H85" s="64" t="s">
        <v>30</v>
      </c>
      <c r="I85" s="64">
        <v>3.0</v>
      </c>
      <c r="J85" s="66" t="s">
        <v>142</v>
      </c>
      <c r="K85" s="67">
        <v>1.0</v>
      </c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>
      <c r="A86" s="32"/>
      <c r="B86" s="49"/>
      <c r="J86" s="54" t="s">
        <v>176</v>
      </c>
      <c r="K86" s="52">
        <v>2.0</v>
      </c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>
      <c r="A87" s="32"/>
      <c r="B87" s="49"/>
      <c r="H87" s="50"/>
      <c r="I87" s="50"/>
      <c r="J87" s="54" t="s">
        <v>177</v>
      </c>
      <c r="K87" s="52">
        <v>1.0</v>
      </c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>
      <c r="A88" s="32"/>
      <c r="B88" s="49"/>
      <c r="H88" s="53" t="s">
        <v>23</v>
      </c>
      <c r="I88" s="53">
        <v>1.0</v>
      </c>
      <c r="J88" s="54" t="s">
        <v>141</v>
      </c>
      <c r="K88" s="52">
        <v>1.0</v>
      </c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>
      <c r="A89" s="32"/>
      <c r="B89" s="49"/>
      <c r="H89" s="53" t="s">
        <v>3</v>
      </c>
      <c r="I89" s="53">
        <v>1.0</v>
      </c>
      <c r="J89" s="54" t="s">
        <v>169</v>
      </c>
      <c r="K89" s="52">
        <v>1.0</v>
      </c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>
      <c r="A90" s="32"/>
      <c r="B90" s="55"/>
      <c r="C90" s="56"/>
      <c r="D90" s="56"/>
      <c r="E90" s="56"/>
      <c r="F90" s="56"/>
      <c r="G90" s="56"/>
      <c r="H90" s="57" t="s">
        <v>28</v>
      </c>
      <c r="I90" s="57">
        <v>1.0</v>
      </c>
      <c r="J90" s="58" t="s">
        <v>149</v>
      </c>
      <c r="K90" s="59">
        <v>1.0</v>
      </c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>
      <c r="A91" s="32"/>
      <c r="B91" s="61" t="s">
        <v>178</v>
      </c>
      <c r="C91" s="62">
        <v>46108.0</v>
      </c>
      <c r="D91" s="63">
        <v>0.6393518518518518</v>
      </c>
      <c r="E91" s="64" t="s">
        <v>103</v>
      </c>
      <c r="F91" s="64" t="s">
        <v>104</v>
      </c>
      <c r="G91" s="64" t="s">
        <v>105</v>
      </c>
      <c r="H91" s="65" t="s">
        <v>2</v>
      </c>
      <c r="I91" s="65">
        <v>4.0</v>
      </c>
      <c r="J91" s="66" t="s">
        <v>179</v>
      </c>
      <c r="K91" s="67">
        <v>4.0</v>
      </c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>
      <c r="A92" s="32"/>
      <c r="B92" s="49"/>
      <c r="H92" s="76" t="s">
        <v>180</v>
      </c>
      <c r="I92" s="53">
        <v>2.0</v>
      </c>
      <c r="J92" s="51" t="s">
        <v>181</v>
      </c>
      <c r="K92" s="52">
        <v>2.0</v>
      </c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>
      <c r="A93" s="32"/>
      <c r="B93" s="49"/>
      <c r="H93" s="53" t="s">
        <v>11</v>
      </c>
      <c r="I93" s="53">
        <v>2.0</v>
      </c>
      <c r="J93" s="54" t="s">
        <v>182</v>
      </c>
      <c r="K93" s="52">
        <v>2.0</v>
      </c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>
      <c r="A94" s="32"/>
      <c r="B94" s="55"/>
      <c r="C94" s="56"/>
      <c r="D94" s="56"/>
      <c r="E94" s="56"/>
      <c r="F94" s="56"/>
      <c r="G94" s="56"/>
      <c r="H94" s="57" t="s">
        <v>22</v>
      </c>
      <c r="I94" s="57">
        <v>2.0</v>
      </c>
      <c r="J94" s="58" t="s">
        <v>183</v>
      </c>
      <c r="K94" s="59">
        <v>2.0</v>
      </c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>
      <c r="A95" s="32"/>
      <c r="B95" s="61" t="s">
        <v>184</v>
      </c>
      <c r="C95" s="62">
        <v>46108.0</v>
      </c>
      <c r="D95" s="63">
        <v>0.6431712962962963</v>
      </c>
      <c r="E95" s="64" t="s">
        <v>103</v>
      </c>
      <c r="F95" s="64" t="s">
        <v>104</v>
      </c>
      <c r="G95" s="64" t="s">
        <v>105</v>
      </c>
      <c r="H95" s="65" t="s">
        <v>17</v>
      </c>
      <c r="I95" s="65">
        <v>4.0</v>
      </c>
      <c r="J95" s="77" t="s">
        <v>181</v>
      </c>
      <c r="K95" s="67">
        <v>4.0</v>
      </c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>
      <c r="A96" s="32"/>
      <c r="B96" s="49"/>
      <c r="H96" s="76" t="s">
        <v>11</v>
      </c>
      <c r="I96" s="53">
        <v>2.0</v>
      </c>
      <c r="J96" s="54" t="s">
        <v>182</v>
      </c>
      <c r="K96" s="52">
        <v>2.0</v>
      </c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>
      <c r="A97" s="32"/>
      <c r="B97" s="49"/>
      <c r="H97" s="53" t="s">
        <v>21</v>
      </c>
      <c r="I97" s="53">
        <v>1.0</v>
      </c>
      <c r="J97" s="54" t="s">
        <v>185</v>
      </c>
      <c r="K97" s="52">
        <v>1.0</v>
      </c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>
      <c r="A98" s="32"/>
      <c r="B98" s="55"/>
      <c r="C98" s="56"/>
      <c r="D98" s="56"/>
      <c r="E98" s="56"/>
      <c r="F98" s="56"/>
      <c r="G98" s="56"/>
      <c r="H98" s="57" t="s">
        <v>22</v>
      </c>
      <c r="I98" s="57">
        <v>2.0</v>
      </c>
      <c r="J98" s="58" t="s">
        <v>183</v>
      </c>
      <c r="K98" s="59">
        <v>2.0</v>
      </c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>
      <c r="A99" s="32"/>
      <c r="B99" s="61" t="s">
        <v>186</v>
      </c>
      <c r="C99" s="62">
        <v>46108.0</v>
      </c>
      <c r="D99" s="63">
        <v>0.6454050925925926</v>
      </c>
      <c r="E99" s="64" t="s">
        <v>103</v>
      </c>
      <c r="F99" s="64" t="s">
        <v>104</v>
      </c>
      <c r="G99" s="64" t="s">
        <v>105</v>
      </c>
      <c r="H99" s="65" t="s">
        <v>2</v>
      </c>
      <c r="I99" s="65">
        <v>2.0</v>
      </c>
      <c r="J99" s="66" t="s">
        <v>179</v>
      </c>
      <c r="K99" s="67">
        <v>2.0</v>
      </c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>
      <c r="A100" s="32"/>
      <c r="B100" s="49"/>
      <c r="H100" s="53" t="s">
        <v>21</v>
      </c>
      <c r="I100" s="53">
        <v>1.0</v>
      </c>
      <c r="J100" s="54" t="s">
        <v>185</v>
      </c>
      <c r="K100" s="52">
        <v>1.0</v>
      </c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>
      <c r="A101" s="32"/>
      <c r="B101" s="49"/>
      <c r="H101" s="53" t="s">
        <v>11</v>
      </c>
      <c r="I101" s="53">
        <v>1.0</v>
      </c>
      <c r="J101" s="54" t="s">
        <v>182</v>
      </c>
      <c r="K101" s="52">
        <v>1.0</v>
      </c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>
      <c r="A102" s="32"/>
      <c r="B102" s="49"/>
      <c r="H102" s="53" t="s">
        <v>6</v>
      </c>
      <c r="I102" s="53">
        <v>1.0</v>
      </c>
      <c r="J102" s="54" t="s">
        <v>187</v>
      </c>
      <c r="K102" s="52">
        <v>1.0</v>
      </c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>
      <c r="A103" s="32"/>
      <c r="B103" s="55"/>
      <c r="C103" s="56"/>
      <c r="D103" s="56"/>
      <c r="E103" s="56"/>
      <c r="F103" s="56"/>
      <c r="G103" s="56"/>
      <c r="H103" s="57" t="s">
        <v>22</v>
      </c>
      <c r="I103" s="57">
        <v>1.0</v>
      </c>
      <c r="J103" s="78" t="s">
        <v>183</v>
      </c>
      <c r="K103" s="59">
        <v>1.0</v>
      </c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>
      <c r="A104" s="32"/>
      <c r="B104" s="61" t="s">
        <v>188</v>
      </c>
      <c r="C104" s="62">
        <v>46108.0</v>
      </c>
      <c r="D104" s="63">
        <v>0.6490625</v>
      </c>
      <c r="E104" s="64" t="s">
        <v>103</v>
      </c>
      <c r="F104" s="64" t="s">
        <v>104</v>
      </c>
      <c r="G104" s="64" t="s">
        <v>105</v>
      </c>
      <c r="H104" s="65" t="s">
        <v>2</v>
      </c>
      <c r="I104" s="65">
        <v>1.0</v>
      </c>
      <c r="J104" s="77" t="s">
        <v>179</v>
      </c>
      <c r="K104" s="67">
        <v>1.0</v>
      </c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>
      <c r="A105" s="32"/>
      <c r="B105" s="49"/>
      <c r="H105" s="53" t="s">
        <v>21</v>
      </c>
      <c r="I105" s="53">
        <v>1.0</v>
      </c>
      <c r="J105" s="54" t="s">
        <v>185</v>
      </c>
      <c r="K105" s="52">
        <v>1.0</v>
      </c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>
      <c r="A106" s="32"/>
      <c r="B106" s="49"/>
      <c r="H106" s="53" t="s">
        <v>11</v>
      </c>
      <c r="I106" s="53">
        <v>1.0</v>
      </c>
      <c r="J106" s="54" t="s">
        <v>182</v>
      </c>
      <c r="K106" s="52">
        <v>1.0</v>
      </c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>
      <c r="A107" s="32"/>
      <c r="B107" s="49"/>
      <c r="H107" s="53" t="s">
        <v>22</v>
      </c>
      <c r="I107" s="53">
        <v>1.0</v>
      </c>
      <c r="J107" s="54" t="s">
        <v>183</v>
      </c>
      <c r="K107" s="52">
        <v>1.0</v>
      </c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>
      <c r="A108" s="32"/>
      <c r="B108" s="55"/>
      <c r="C108" s="56"/>
      <c r="D108" s="56"/>
      <c r="E108" s="56"/>
      <c r="F108" s="56"/>
      <c r="G108" s="56"/>
      <c r="H108" s="57" t="s">
        <v>17</v>
      </c>
      <c r="I108" s="57">
        <v>1.0</v>
      </c>
      <c r="J108" s="78" t="s">
        <v>181</v>
      </c>
      <c r="K108" s="59">
        <v>1.0</v>
      </c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>
      <c r="A109" s="32"/>
      <c r="B109" s="61" t="s">
        <v>189</v>
      </c>
      <c r="C109" s="62">
        <v>46108.0</v>
      </c>
      <c r="D109" s="63">
        <v>0.6508449074074074</v>
      </c>
      <c r="E109" s="64" t="s">
        <v>103</v>
      </c>
      <c r="F109" s="64" t="s">
        <v>104</v>
      </c>
      <c r="G109" s="64" t="s">
        <v>105</v>
      </c>
      <c r="H109" s="65" t="s">
        <v>17</v>
      </c>
      <c r="I109" s="65">
        <v>2.0</v>
      </c>
      <c r="J109" s="77" t="s">
        <v>181</v>
      </c>
      <c r="K109" s="67">
        <v>2.0</v>
      </c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>
      <c r="A110" s="32"/>
      <c r="B110" s="49"/>
      <c r="H110" s="53" t="s">
        <v>2</v>
      </c>
      <c r="I110" s="53">
        <v>1.0</v>
      </c>
      <c r="J110" s="54" t="s">
        <v>179</v>
      </c>
      <c r="K110" s="52">
        <v>1.0</v>
      </c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>
      <c r="A111" s="32"/>
      <c r="B111" s="49"/>
      <c r="H111" s="53" t="s">
        <v>11</v>
      </c>
      <c r="I111" s="53">
        <v>1.0</v>
      </c>
      <c r="J111" s="51" t="s">
        <v>182</v>
      </c>
      <c r="K111" s="52">
        <v>1.0</v>
      </c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>
      <c r="A112" s="32"/>
      <c r="B112" s="49"/>
      <c r="H112" s="53" t="s">
        <v>22</v>
      </c>
      <c r="I112" s="53">
        <v>1.0</v>
      </c>
      <c r="J112" s="54" t="s">
        <v>183</v>
      </c>
      <c r="K112" s="52">
        <v>1.0</v>
      </c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>
      <c r="A113" s="32"/>
      <c r="B113" s="55"/>
      <c r="C113" s="56"/>
      <c r="D113" s="56"/>
      <c r="E113" s="56"/>
      <c r="F113" s="56"/>
      <c r="G113" s="56"/>
      <c r="H113" s="57" t="s">
        <v>190</v>
      </c>
      <c r="I113" s="57">
        <v>1.0</v>
      </c>
      <c r="J113" s="78" t="s">
        <v>191</v>
      </c>
      <c r="K113" s="59">
        <v>1.0</v>
      </c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>
      <c r="A114" s="32"/>
      <c r="B114" s="61" t="s">
        <v>192</v>
      </c>
      <c r="C114" s="62">
        <v>46108.0</v>
      </c>
      <c r="D114" s="63">
        <v>0.6527199074074074</v>
      </c>
      <c r="E114" s="64" t="s">
        <v>103</v>
      </c>
      <c r="F114" s="64" t="s">
        <v>104</v>
      </c>
      <c r="G114" s="64" t="s">
        <v>105</v>
      </c>
      <c r="H114" s="65" t="s">
        <v>17</v>
      </c>
      <c r="I114" s="65">
        <v>4.0</v>
      </c>
      <c r="J114" s="77" t="s">
        <v>181</v>
      </c>
      <c r="K114" s="67">
        <v>4.0</v>
      </c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>
      <c r="A115" s="32"/>
      <c r="B115" s="49"/>
      <c r="H115" s="76" t="s">
        <v>193</v>
      </c>
      <c r="I115" s="53">
        <v>1.0</v>
      </c>
      <c r="J115" s="54" t="s">
        <v>194</v>
      </c>
      <c r="K115" s="52">
        <v>1.0</v>
      </c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>
      <c r="A116" s="32"/>
      <c r="B116" s="49"/>
      <c r="H116" s="76" t="s">
        <v>11</v>
      </c>
      <c r="I116" s="53">
        <v>2.0</v>
      </c>
      <c r="J116" s="54" t="s">
        <v>182</v>
      </c>
      <c r="K116" s="52">
        <v>2.0</v>
      </c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>
      <c r="A117" s="32"/>
      <c r="B117" s="55"/>
      <c r="C117" s="56"/>
      <c r="D117" s="56"/>
      <c r="E117" s="56"/>
      <c r="F117" s="56"/>
      <c r="G117" s="56"/>
      <c r="H117" s="57" t="s">
        <v>195</v>
      </c>
      <c r="I117" s="57">
        <v>1.0</v>
      </c>
      <c r="J117" s="58" t="s">
        <v>196</v>
      </c>
      <c r="K117" s="59">
        <v>1.0</v>
      </c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>
      <c r="A118" s="32"/>
      <c r="B118" s="61" t="s">
        <v>197</v>
      </c>
      <c r="C118" s="62">
        <v>46108.0</v>
      </c>
      <c r="D118" s="63">
        <v>0.656875</v>
      </c>
      <c r="E118" s="64" t="s">
        <v>103</v>
      </c>
      <c r="F118" s="64" t="s">
        <v>104</v>
      </c>
      <c r="G118" s="64" t="s">
        <v>105</v>
      </c>
      <c r="H118" s="65" t="s">
        <v>11</v>
      </c>
      <c r="I118" s="65">
        <v>2.0</v>
      </c>
      <c r="J118" s="66" t="s">
        <v>182</v>
      </c>
      <c r="K118" s="67">
        <v>2.0</v>
      </c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>
      <c r="A119" s="32"/>
      <c r="B119" s="49"/>
      <c r="H119" s="53" t="s">
        <v>2</v>
      </c>
      <c r="I119" s="53">
        <v>1.0</v>
      </c>
      <c r="J119" s="54" t="s">
        <v>179</v>
      </c>
      <c r="K119" s="52">
        <v>1.0</v>
      </c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>
      <c r="A120" s="32"/>
      <c r="B120" s="49"/>
      <c r="H120" s="53" t="s">
        <v>190</v>
      </c>
      <c r="I120" s="53">
        <v>1.0</v>
      </c>
      <c r="J120" s="54" t="s">
        <v>191</v>
      </c>
      <c r="K120" s="52">
        <v>1.0</v>
      </c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>
      <c r="A121" s="32"/>
      <c r="B121" s="49"/>
      <c r="H121" s="53" t="s">
        <v>26</v>
      </c>
      <c r="I121" s="53">
        <v>2.0</v>
      </c>
      <c r="J121" s="54" t="s">
        <v>198</v>
      </c>
      <c r="K121" s="52">
        <v>2.0</v>
      </c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>
      <c r="A122" s="32"/>
      <c r="B122" s="49"/>
      <c r="H122" s="53" t="s">
        <v>22</v>
      </c>
      <c r="I122" s="53">
        <v>1.0</v>
      </c>
      <c r="J122" s="54" t="s">
        <v>183</v>
      </c>
      <c r="K122" s="52">
        <v>1.0</v>
      </c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>
      <c r="A123" s="32"/>
      <c r="B123" s="55"/>
      <c r="C123" s="56"/>
      <c r="D123" s="56"/>
      <c r="E123" s="56"/>
      <c r="F123" s="56"/>
      <c r="G123" s="56"/>
      <c r="H123" s="57" t="s">
        <v>17</v>
      </c>
      <c r="I123" s="57">
        <v>1.0</v>
      </c>
      <c r="J123" s="58" t="s">
        <v>181</v>
      </c>
      <c r="K123" s="59">
        <v>1.0</v>
      </c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>
      <c r="A124" s="32"/>
      <c r="B124" s="69" t="s">
        <v>199</v>
      </c>
      <c r="C124" s="70">
        <v>46108.0</v>
      </c>
      <c r="D124" s="71">
        <v>0.6593055555555556</v>
      </c>
      <c r="E124" s="72" t="s">
        <v>103</v>
      </c>
      <c r="F124" s="72" t="s">
        <v>104</v>
      </c>
      <c r="G124" s="72" t="s">
        <v>105</v>
      </c>
      <c r="H124" s="72" t="s">
        <v>16</v>
      </c>
      <c r="I124" s="72" t="s">
        <v>16</v>
      </c>
      <c r="J124" s="73" t="s">
        <v>16</v>
      </c>
      <c r="K124" s="74" t="s">
        <v>16</v>
      </c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>
      <c r="A125" s="32"/>
      <c r="B125" s="61" t="s">
        <v>200</v>
      </c>
      <c r="C125" s="62">
        <v>46109.0</v>
      </c>
      <c r="D125" s="63">
        <v>0.45675925925925925</v>
      </c>
      <c r="E125" s="64" t="s">
        <v>103</v>
      </c>
      <c r="F125" s="64" t="s">
        <v>104</v>
      </c>
      <c r="G125" s="64" t="s">
        <v>105</v>
      </c>
      <c r="H125" s="65" t="s">
        <v>2</v>
      </c>
      <c r="I125" s="65">
        <v>3.0</v>
      </c>
      <c r="J125" s="77" t="s">
        <v>179</v>
      </c>
      <c r="K125" s="67">
        <v>3.0</v>
      </c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>
      <c r="A126" s="32"/>
      <c r="B126" s="49"/>
      <c r="H126" s="53" t="s">
        <v>17</v>
      </c>
      <c r="I126" s="53">
        <v>3.0</v>
      </c>
      <c r="J126" s="54" t="s">
        <v>181</v>
      </c>
      <c r="K126" s="52">
        <v>3.0</v>
      </c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>
      <c r="A127" s="32"/>
      <c r="B127" s="55"/>
      <c r="C127" s="56"/>
      <c r="D127" s="56"/>
      <c r="E127" s="56"/>
      <c r="F127" s="56"/>
      <c r="G127" s="56"/>
      <c r="H127" s="68" t="s">
        <v>201</v>
      </c>
      <c r="I127" s="68">
        <v>1.0</v>
      </c>
      <c r="J127" s="79" t="s">
        <v>202</v>
      </c>
      <c r="K127" s="80">
        <v>1.0</v>
      </c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>
      <c r="A128" s="32"/>
      <c r="B128" s="61" t="s">
        <v>203</v>
      </c>
      <c r="C128" s="62">
        <v>46109.0</v>
      </c>
      <c r="D128" s="63">
        <v>0.45875</v>
      </c>
      <c r="E128" s="64" t="s">
        <v>103</v>
      </c>
      <c r="F128" s="64" t="s">
        <v>104</v>
      </c>
      <c r="G128" s="64" t="s">
        <v>105</v>
      </c>
      <c r="H128" s="65" t="s">
        <v>2</v>
      </c>
      <c r="I128" s="65">
        <v>3.0</v>
      </c>
      <c r="J128" s="77" t="s">
        <v>179</v>
      </c>
      <c r="K128" s="67">
        <v>3.0</v>
      </c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>
      <c r="A129" s="32"/>
      <c r="B129" s="49"/>
      <c r="H129" s="76" t="s">
        <v>201</v>
      </c>
      <c r="I129" s="53">
        <v>2.0</v>
      </c>
      <c r="J129" s="54" t="s">
        <v>202</v>
      </c>
      <c r="K129" s="52">
        <v>2.0</v>
      </c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>
      <c r="A130" s="32"/>
      <c r="B130" s="49"/>
      <c r="H130" s="76" t="s">
        <v>6</v>
      </c>
      <c r="I130" s="53">
        <v>1.0</v>
      </c>
      <c r="J130" s="54" t="s">
        <v>187</v>
      </c>
      <c r="K130" s="52">
        <v>1.0</v>
      </c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>
      <c r="A131" s="32"/>
      <c r="B131" s="81"/>
      <c r="C131" s="82"/>
      <c r="D131" s="82"/>
      <c r="E131" s="82"/>
      <c r="F131" s="82"/>
      <c r="G131" s="82"/>
      <c r="H131" s="83" t="s">
        <v>17</v>
      </c>
      <c r="I131" s="83">
        <v>2.0</v>
      </c>
      <c r="J131" s="84" t="s">
        <v>181</v>
      </c>
      <c r="K131" s="85">
        <v>2.0</v>
      </c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>
      <c r="A132" s="32"/>
      <c r="B132" s="44" t="s">
        <v>102</v>
      </c>
      <c r="C132" s="45">
        <v>46138.0</v>
      </c>
      <c r="D132" s="46">
        <v>0.7643634259259259</v>
      </c>
      <c r="E132" s="32" t="s">
        <v>204</v>
      </c>
      <c r="F132" s="32" t="s">
        <v>104</v>
      </c>
      <c r="G132" s="32" t="s">
        <v>105</v>
      </c>
      <c r="H132" s="86" t="s">
        <v>2</v>
      </c>
      <c r="I132" s="32">
        <v>4.0</v>
      </c>
      <c r="J132" s="47" t="s">
        <v>205</v>
      </c>
      <c r="K132" s="48">
        <v>2.0</v>
      </c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>
      <c r="A133" s="34"/>
      <c r="B133" s="49"/>
      <c r="J133" s="54" t="s">
        <v>206</v>
      </c>
      <c r="K133" s="52">
        <v>1.0</v>
      </c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>
      <c r="A134" s="34"/>
      <c r="B134" s="49"/>
      <c r="H134" s="50"/>
      <c r="I134" s="50"/>
      <c r="J134" s="51" t="s">
        <v>207</v>
      </c>
      <c r="K134" s="52">
        <v>1.0</v>
      </c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>
      <c r="A135" s="34"/>
      <c r="B135" s="49"/>
      <c r="H135" s="87" t="s">
        <v>5</v>
      </c>
      <c r="I135" s="87">
        <v>1.0</v>
      </c>
      <c r="J135" s="54" t="s">
        <v>208</v>
      </c>
      <c r="K135" s="52">
        <v>1.0</v>
      </c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>
      <c r="A136" s="34"/>
      <c r="B136" s="49"/>
      <c r="H136" s="53" t="s">
        <v>125</v>
      </c>
      <c r="I136" s="53">
        <v>1.0</v>
      </c>
      <c r="J136" s="54" t="s">
        <v>209</v>
      </c>
      <c r="K136" s="52">
        <v>1.0</v>
      </c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>
      <c r="A137" s="34"/>
      <c r="B137" s="49"/>
      <c r="H137" s="68" t="s">
        <v>8</v>
      </c>
      <c r="I137" s="68">
        <v>1.0</v>
      </c>
      <c r="J137" s="79" t="s">
        <v>210</v>
      </c>
      <c r="K137" s="80">
        <v>1.0</v>
      </c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>
      <c r="A138" s="34"/>
      <c r="B138" s="55"/>
      <c r="C138" s="56"/>
      <c r="D138" s="56"/>
      <c r="E138" s="56"/>
      <c r="F138" s="56"/>
      <c r="G138" s="56"/>
      <c r="H138" s="57" t="s">
        <v>211</v>
      </c>
      <c r="I138" s="57">
        <v>2.0</v>
      </c>
      <c r="J138" s="58" t="s">
        <v>212</v>
      </c>
      <c r="K138" s="59">
        <v>2.0</v>
      </c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>
      <c r="A139" s="34"/>
      <c r="B139" s="44" t="s">
        <v>111</v>
      </c>
      <c r="C139" s="45">
        <v>46121.0</v>
      </c>
      <c r="D139" s="46">
        <v>0.789050925925926</v>
      </c>
      <c r="E139" s="32" t="s">
        <v>204</v>
      </c>
      <c r="F139" s="32" t="s">
        <v>104</v>
      </c>
      <c r="G139" s="32" t="s">
        <v>105</v>
      </c>
      <c r="H139" s="32" t="s">
        <v>2</v>
      </c>
      <c r="I139" s="32">
        <v>2.0</v>
      </c>
      <c r="J139" s="47" t="s">
        <v>205</v>
      </c>
      <c r="K139" s="48">
        <v>1.0</v>
      </c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>
      <c r="A140" s="34"/>
      <c r="B140" s="49"/>
      <c r="H140" s="50"/>
      <c r="I140" s="50"/>
      <c r="J140" s="51" t="s">
        <v>207</v>
      </c>
      <c r="K140" s="52">
        <v>1.0</v>
      </c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>
      <c r="A141" s="34"/>
      <c r="B141" s="49"/>
      <c r="H141" s="53" t="s">
        <v>5</v>
      </c>
      <c r="I141" s="53">
        <v>1.0</v>
      </c>
      <c r="J141" s="54" t="s">
        <v>208</v>
      </c>
      <c r="K141" s="52">
        <v>1.0</v>
      </c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>
      <c r="A142" s="34"/>
      <c r="B142" s="55"/>
      <c r="C142" s="56"/>
      <c r="D142" s="56"/>
      <c r="E142" s="56"/>
      <c r="F142" s="56"/>
      <c r="G142" s="56"/>
      <c r="H142" s="60" t="s">
        <v>211</v>
      </c>
      <c r="I142" s="57">
        <v>1.0</v>
      </c>
      <c r="J142" s="58" t="s">
        <v>213</v>
      </c>
      <c r="K142" s="59">
        <v>1.0</v>
      </c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>
      <c r="A143" s="34"/>
      <c r="B143" s="61" t="s">
        <v>117</v>
      </c>
      <c r="C143" s="62">
        <v>46121.0</v>
      </c>
      <c r="D143" s="63">
        <v>0.794675925925926</v>
      </c>
      <c r="E143" s="64" t="s">
        <v>204</v>
      </c>
      <c r="F143" s="64" t="s">
        <v>104</v>
      </c>
      <c r="G143" s="64" t="s">
        <v>105</v>
      </c>
      <c r="H143" s="32" t="s">
        <v>2</v>
      </c>
      <c r="I143" s="32">
        <v>2.0</v>
      </c>
      <c r="J143" s="47" t="s">
        <v>207</v>
      </c>
      <c r="K143" s="48">
        <v>1.0</v>
      </c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>
      <c r="A144" s="34"/>
      <c r="B144" s="49"/>
      <c r="H144" s="50"/>
      <c r="I144" s="50"/>
      <c r="J144" s="54" t="s">
        <v>206</v>
      </c>
      <c r="K144" s="52">
        <v>1.0</v>
      </c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>
      <c r="A145" s="34"/>
      <c r="B145" s="49"/>
      <c r="H145" s="53" t="s">
        <v>8</v>
      </c>
      <c r="I145" s="53">
        <v>1.0</v>
      </c>
      <c r="J145" s="51" t="s">
        <v>210</v>
      </c>
      <c r="K145" s="52">
        <v>1.0</v>
      </c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>
      <c r="A146" s="34"/>
      <c r="B146" s="49"/>
      <c r="H146" s="32" t="s">
        <v>214</v>
      </c>
      <c r="I146" s="32">
        <v>1.0</v>
      </c>
      <c r="J146" s="88" t="s">
        <v>215</v>
      </c>
      <c r="K146" s="89">
        <v>1.0</v>
      </c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>
      <c r="A147" s="34"/>
      <c r="B147" s="55"/>
      <c r="C147" s="56"/>
      <c r="D147" s="56"/>
      <c r="E147" s="56"/>
      <c r="F147" s="56"/>
      <c r="G147" s="56"/>
      <c r="H147" s="57" t="s">
        <v>216</v>
      </c>
      <c r="I147" s="57">
        <v>1.0</v>
      </c>
      <c r="J147" s="58" t="s">
        <v>217</v>
      </c>
      <c r="K147" s="59">
        <v>1.0</v>
      </c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>
      <c r="A148" s="34"/>
      <c r="B148" s="61" t="s">
        <v>120</v>
      </c>
      <c r="C148" s="62">
        <v>46121.0</v>
      </c>
      <c r="D148" s="63">
        <v>0.7999421296296296</v>
      </c>
      <c r="E148" s="64" t="s">
        <v>204</v>
      </c>
      <c r="F148" s="64" t="s">
        <v>104</v>
      </c>
      <c r="G148" s="64" t="s">
        <v>105</v>
      </c>
      <c r="H148" s="86" t="s">
        <v>2</v>
      </c>
      <c r="I148" s="32">
        <v>5.0</v>
      </c>
      <c r="J148" s="47" t="s">
        <v>205</v>
      </c>
      <c r="K148" s="48">
        <v>1.0</v>
      </c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>
      <c r="A149" s="34"/>
      <c r="B149" s="49"/>
      <c r="J149" s="54" t="s">
        <v>206</v>
      </c>
      <c r="K149" s="52">
        <v>2.0</v>
      </c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>
      <c r="A150" s="34"/>
      <c r="B150" s="49"/>
      <c r="J150" s="51" t="s">
        <v>207</v>
      </c>
      <c r="K150" s="52">
        <v>1.0</v>
      </c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>
      <c r="A151" s="34"/>
      <c r="B151" s="49"/>
      <c r="H151" s="50"/>
      <c r="I151" s="50"/>
      <c r="J151" s="54" t="s">
        <v>218</v>
      </c>
      <c r="K151" s="52">
        <v>1.0</v>
      </c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>
      <c r="A152" s="34"/>
      <c r="B152" s="49"/>
      <c r="H152" s="87" t="s">
        <v>5</v>
      </c>
      <c r="I152" s="87">
        <v>1.0</v>
      </c>
      <c r="J152" s="54" t="s">
        <v>208</v>
      </c>
      <c r="K152" s="52">
        <v>1.0</v>
      </c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>
      <c r="A153" s="34"/>
      <c r="B153" s="49"/>
      <c r="H153" s="53" t="s">
        <v>211</v>
      </c>
      <c r="I153" s="53">
        <v>2.0</v>
      </c>
      <c r="J153" s="54" t="s">
        <v>213</v>
      </c>
      <c r="K153" s="52">
        <v>2.0</v>
      </c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>
      <c r="A154" s="34"/>
      <c r="B154" s="55"/>
      <c r="C154" s="56"/>
      <c r="D154" s="56"/>
      <c r="E154" s="56"/>
      <c r="F154" s="56"/>
      <c r="G154" s="56"/>
      <c r="H154" s="57" t="s">
        <v>6</v>
      </c>
      <c r="I154" s="57">
        <v>1.0</v>
      </c>
      <c r="J154" s="58" t="s">
        <v>219</v>
      </c>
      <c r="K154" s="59">
        <v>1.0</v>
      </c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>
      <c r="A155" s="34"/>
      <c r="B155" s="61" t="s">
        <v>123</v>
      </c>
      <c r="C155" s="62">
        <v>46121.0</v>
      </c>
      <c r="D155" s="63">
        <v>0.8056597222222223</v>
      </c>
      <c r="E155" s="64" t="s">
        <v>204</v>
      </c>
      <c r="F155" s="64" t="s">
        <v>104</v>
      </c>
      <c r="G155" s="64" t="s">
        <v>105</v>
      </c>
      <c r="H155" s="64" t="s">
        <v>2</v>
      </c>
      <c r="I155" s="64">
        <v>2.0</v>
      </c>
      <c r="J155" s="47" t="s">
        <v>205</v>
      </c>
      <c r="K155" s="67">
        <v>1.0</v>
      </c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>
      <c r="A156" s="34"/>
      <c r="B156" s="49"/>
      <c r="H156" s="50"/>
      <c r="I156" s="50"/>
      <c r="J156" s="51" t="s">
        <v>207</v>
      </c>
      <c r="K156" s="52">
        <v>1.0</v>
      </c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>
      <c r="A157" s="34"/>
      <c r="B157" s="49"/>
      <c r="H157" s="53" t="s">
        <v>5</v>
      </c>
      <c r="I157" s="53">
        <v>1.0</v>
      </c>
      <c r="J157" s="54" t="s">
        <v>208</v>
      </c>
      <c r="K157" s="52">
        <v>1.0</v>
      </c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>
      <c r="A158" s="34"/>
      <c r="B158" s="55"/>
      <c r="C158" s="56"/>
      <c r="D158" s="56"/>
      <c r="E158" s="56"/>
      <c r="F158" s="56"/>
      <c r="G158" s="56"/>
      <c r="H158" s="57" t="s">
        <v>211</v>
      </c>
      <c r="I158" s="57">
        <v>1.0</v>
      </c>
      <c r="J158" s="58" t="s">
        <v>213</v>
      </c>
      <c r="K158" s="59">
        <v>1.0</v>
      </c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>
      <c r="A159" s="34"/>
      <c r="B159" s="61" t="s">
        <v>124</v>
      </c>
      <c r="C159" s="62">
        <v>46121.0</v>
      </c>
      <c r="D159" s="63">
        <v>0.8077777777777778</v>
      </c>
      <c r="E159" s="64" t="s">
        <v>204</v>
      </c>
      <c r="F159" s="64" t="s">
        <v>104</v>
      </c>
      <c r="G159" s="64" t="s">
        <v>105</v>
      </c>
      <c r="H159" s="86" t="s">
        <v>2</v>
      </c>
      <c r="I159" s="32">
        <v>4.0</v>
      </c>
      <c r="J159" s="47" t="s">
        <v>205</v>
      </c>
      <c r="K159" s="48">
        <v>2.0</v>
      </c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>
      <c r="A160" s="34"/>
      <c r="B160" s="49"/>
      <c r="J160" s="54" t="s">
        <v>206</v>
      </c>
      <c r="K160" s="52">
        <v>1.0</v>
      </c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>
      <c r="A161" s="34"/>
      <c r="B161" s="49"/>
      <c r="H161" s="50"/>
      <c r="I161" s="50"/>
      <c r="J161" s="51" t="s">
        <v>207</v>
      </c>
      <c r="K161" s="52">
        <v>1.0</v>
      </c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>
      <c r="A162" s="34"/>
      <c r="B162" s="49"/>
      <c r="H162" s="87" t="s">
        <v>5</v>
      </c>
      <c r="I162" s="87">
        <v>2.0</v>
      </c>
      <c r="J162" s="54" t="s">
        <v>208</v>
      </c>
      <c r="K162" s="52">
        <v>2.0</v>
      </c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>
      <c r="A163" s="34"/>
      <c r="B163" s="49"/>
      <c r="H163" s="32" t="s">
        <v>220</v>
      </c>
      <c r="I163" s="32">
        <v>1.0</v>
      </c>
      <c r="J163" s="90" t="s">
        <v>221</v>
      </c>
      <c r="K163" s="80">
        <v>1.0</v>
      </c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>
      <c r="A164" s="34"/>
      <c r="B164" s="49"/>
      <c r="H164" s="53" t="s">
        <v>222</v>
      </c>
      <c r="I164" s="53">
        <v>1.0</v>
      </c>
      <c r="J164" s="54" t="s">
        <v>223</v>
      </c>
      <c r="K164" s="52">
        <v>1.0</v>
      </c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>
      <c r="A165" s="34"/>
      <c r="B165" s="55"/>
      <c r="C165" s="56"/>
      <c r="D165" s="56"/>
      <c r="E165" s="56"/>
      <c r="F165" s="56"/>
      <c r="G165" s="56"/>
      <c r="H165" s="57" t="s">
        <v>8</v>
      </c>
      <c r="I165" s="57">
        <v>1.0</v>
      </c>
      <c r="J165" s="58" t="s">
        <v>224</v>
      </c>
      <c r="K165" s="59">
        <v>1.0</v>
      </c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>
      <c r="A166" s="34"/>
      <c r="B166" s="61" t="s">
        <v>127</v>
      </c>
      <c r="C166" s="62">
        <v>46121.0</v>
      </c>
      <c r="D166" s="63">
        <v>0.8137847222222222</v>
      </c>
      <c r="E166" s="64" t="s">
        <v>204</v>
      </c>
      <c r="F166" s="64" t="s">
        <v>104</v>
      </c>
      <c r="G166" s="64" t="s">
        <v>105</v>
      </c>
      <c r="H166" s="86" t="s">
        <v>2</v>
      </c>
      <c r="I166" s="32">
        <v>4.0</v>
      </c>
      <c r="J166" s="47" t="s">
        <v>205</v>
      </c>
      <c r="K166" s="48">
        <v>1.0</v>
      </c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>
      <c r="A167" s="34"/>
      <c r="B167" s="49"/>
      <c r="J167" s="54" t="s">
        <v>206</v>
      </c>
      <c r="K167" s="52">
        <v>2.0</v>
      </c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>
      <c r="A168" s="34"/>
      <c r="B168" s="49"/>
      <c r="H168" s="50"/>
      <c r="I168" s="50"/>
      <c r="J168" s="51" t="s">
        <v>218</v>
      </c>
      <c r="K168" s="52">
        <v>1.0</v>
      </c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>
      <c r="A169" s="34"/>
      <c r="B169" s="49"/>
      <c r="H169" s="87" t="s">
        <v>5</v>
      </c>
      <c r="I169" s="87">
        <v>1.0</v>
      </c>
      <c r="J169" s="54" t="s">
        <v>208</v>
      </c>
      <c r="K169" s="52">
        <v>1.0</v>
      </c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>
      <c r="A170" s="34"/>
      <c r="B170" s="49"/>
      <c r="H170" s="87" t="s">
        <v>225</v>
      </c>
      <c r="I170" s="87">
        <v>1.0</v>
      </c>
      <c r="J170" s="54" t="s">
        <v>226</v>
      </c>
      <c r="K170" s="52">
        <v>1.0</v>
      </c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>
      <c r="A171" s="34"/>
      <c r="B171" s="49"/>
      <c r="H171" s="53" t="s">
        <v>145</v>
      </c>
      <c r="I171" s="53">
        <v>1.0</v>
      </c>
      <c r="J171" s="54" t="s">
        <v>227</v>
      </c>
      <c r="K171" s="52">
        <v>1.0</v>
      </c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>
      <c r="A172" s="34"/>
      <c r="B172" s="55"/>
      <c r="C172" s="56"/>
      <c r="D172" s="56"/>
      <c r="E172" s="56"/>
      <c r="F172" s="56"/>
      <c r="G172" s="56"/>
      <c r="H172" s="57" t="s">
        <v>228</v>
      </c>
      <c r="I172" s="57">
        <v>1.0</v>
      </c>
      <c r="J172" s="58" t="s">
        <v>229</v>
      </c>
      <c r="K172" s="59">
        <v>1.0</v>
      </c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>
      <c r="A173" s="34"/>
      <c r="B173" s="61" t="s">
        <v>129</v>
      </c>
      <c r="C173" s="62">
        <v>46121.0</v>
      </c>
      <c r="D173" s="63">
        <v>0.8203703703703704</v>
      </c>
      <c r="E173" s="64" t="s">
        <v>204</v>
      </c>
      <c r="F173" s="64" t="s">
        <v>104</v>
      </c>
      <c r="G173" s="64" t="s">
        <v>105</v>
      </c>
      <c r="H173" s="64" t="s">
        <v>5</v>
      </c>
      <c r="I173" s="64">
        <v>2.0</v>
      </c>
      <c r="J173" s="66" t="s">
        <v>230</v>
      </c>
      <c r="K173" s="67">
        <v>1.0</v>
      </c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>
      <c r="A174" s="34"/>
      <c r="B174" s="49"/>
      <c r="H174" s="50"/>
      <c r="I174" s="50"/>
      <c r="J174" s="54" t="s">
        <v>208</v>
      </c>
      <c r="K174" s="52">
        <v>1.0</v>
      </c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>
      <c r="A175" s="34"/>
      <c r="B175" s="49"/>
      <c r="H175" s="53" t="s">
        <v>211</v>
      </c>
      <c r="I175" s="53">
        <v>1.0</v>
      </c>
      <c r="J175" s="54" t="s">
        <v>231</v>
      </c>
      <c r="K175" s="52">
        <v>1.0</v>
      </c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>
      <c r="A176" s="34"/>
      <c r="B176" s="49"/>
      <c r="H176" s="53" t="s">
        <v>2</v>
      </c>
      <c r="I176" s="53">
        <v>1.0</v>
      </c>
      <c r="J176" s="54" t="s">
        <v>205</v>
      </c>
      <c r="K176" s="52">
        <v>1.0</v>
      </c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>
      <c r="A177" s="34"/>
      <c r="B177" s="49"/>
      <c r="H177" s="53" t="s">
        <v>8</v>
      </c>
      <c r="I177" s="53">
        <v>1.0</v>
      </c>
      <c r="J177" s="54" t="s">
        <v>224</v>
      </c>
      <c r="K177" s="52">
        <v>1.0</v>
      </c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>
      <c r="A178" s="34"/>
      <c r="B178" s="55"/>
      <c r="C178" s="56"/>
      <c r="D178" s="56"/>
      <c r="E178" s="56"/>
      <c r="F178" s="56"/>
      <c r="G178" s="56"/>
      <c r="H178" s="91" t="s">
        <v>232</v>
      </c>
      <c r="I178" s="91">
        <v>1.0</v>
      </c>
      <c r="J178" s="58" t="s">
        <v>233</v>
      </c>
      <c r="K178" s="59">
        <v>1.0</v>
      </c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>
      <c r="A179" s="34"/>
      <c r="B179" s="61" t="s">
        <v>131</v>
      </c>
      <c r="C179" s="62">
        <v>46121.0</v>
      </c>
      <c r="D179" s="63">
        <v>0.825462962962963</v>
      </c>
      <c r="E179" s="64" t="s">
        <v>204</v>
      </c>
      <c r="F179" s="64" t="s">
        <v>104</v>
      </c>
      <c r="G179" s="64" t="s">
        <v>105</v>
      </c>
      <c r="H179" s="86" t="s">
        <v>2</v>
      </c>
      <c r="I179" s="32">
        <v>4.0</v>
      </c>
      <c r="J179" s="47" t="s">
        <v>205</v>
      </c>
      <c r="K179" s="48">
        <v>1.0</v>
      </c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>
      <c r="A180" s="34"/>
      <c r="B180" s="49"/>
      <c r="J180" s="51" t="s">
        <v>207</v>
      </c>
      <c r="K180" s="52">
        <v>2.0</v>
      </c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>
      <c r="A181" s="34"/>
      <c r="B181" s="49"/>
      <c r="H181" s="50"/>
      <c r="I181" s="50"/>
      <c r="J181" s="90" t="s">
        <v>234</v>
      </c>
      <c r="K181" s="52">
        <v>1.0</v>
      </c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>
      <c r="A182" s="34"/>
      <c r="B182" s="49"/>
      <c r="H182" s="32" t="s">
        <v>5</v>
      </c>
      <c r="I182" s="32">
        <v>3.0</v>
      </c>
      <c r="J182" s="90" t="s">
        <v>235</v>
      </c>
      <c r="K182" s="80">
        <v>2.0</v>
      </c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>
      <c r="A183" s="34"/>
      <c r="B183" s="49"/>
      <c r="H183" s="50"/>
      <c r="I183" s="50"/>
      <c r="J183" s="54" t="s">
        <v>208</v>
      </c>
      <c r="K183" s="52">
        <v>1.0</v>
      </c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>
      <c r="A184" s="34"/>
      <c r="B184" s="49"/>
      <c r="H184" s="75" t="s">
        <v>214</v>
      </c>
      <c r="I184" s="53">
        <v>1.0</v>
      </c>
      <c r="J184" s="54" t="s">
        <v>236</v>
      </c>
      <c r="K184" s="52">
        <v>1.0</v>
      </c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>
      <c r="A185" s="34"/>
      <c r="B185" s="49"/>
      <c r="H185" s="68" t="s">
        <v>237</v>
      </c>
      <c r="I185" s="68">
        <v>1.0</v>
      </c>
      <c r="J185" s="90" t="s">
        <v>238</v>
      </c>
      <c r="K185" s="80">
        <v>1.0</v>
      </c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>
      <c r="A186" s="34"/>
      <c r="B186" s="55"/>
      <c r="C186" s="56"/>
      <c r="D186" s="56"/>
      <c r="E186" s="56"/>
      <c r="F186" s="56"/>
      <c r="G186" s="56"/>
      <c r="H186" s="57" t="s">
        <v>160</v>
      </c>
      <c r="I186" s="57">
        <v>1.0</v>
      </c>
      <c r="J186" s="58" t="s">
        <v>239</v>
      </c>
      <c r="K186" s="59">
        <v>1.0</v>
      </c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>
      <c r="A187" s="34"/>
      <c r="B187" s="61" t="s">
        <v>135</v>
      </c>
      <c r="C187" s="62">
        <v>46121.0</v>
      </c>
      <c r="D187" s="63">
        <v>0.8334027777777778</v>
      </c>
      <c r="E187" s="64" t="s">
        <v>204</v>
      </c>
      <c r="F187" s="64" t="s">
        <v>104</v>
      </c>
      <c r="G187" s="64" t="s">
        <v>105</v>
      </c>
      <c r="H187" s="65" t="s">
        <v>160</v>
      </c>
      <c r="I187" s="65">
        <v>1.0</v>
      </c>
      <c r="J187" s="66" t="s">
        <v>239</v>
      </c>
      <c r="K187" s="67">
        <v>1.0</v>
      </c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>
      <c r="A188" s="34"/>
      <c r="B188" s="49"/>
      <c r="H188" s="75" t="s">
        <v>222</v>
      </c>
      <c r="I188" s="53">
        <v>3.0</v>
      </c>
      <c r="J188" s="54" t="s">
        <v>223</v>
      </c>
      <c r="K188" s="52">
        <v>3.0</v>
      </c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>
      <c r="A189" s="34"/>
      <c r="B189" s="49"/>
      <c r="H189" s="53" t="s">
        <v>2</v>
      </c>
      <c r="I189" s="53">
        <v>1.0</v>
      </c>
      <c r="J189" s="54" t="s">
        <v>205</v>
      </c>
      <c r="K189" s="52">
        <v>1.0</v>
      </c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>
      <c r="A190" s="34"/>
      <c r="B190" s="49"/>
      <c r="H190" s="53" t="s">
        <v>240</v>
      </c>
      <c r="I190" s="53">
        <v>1.0</v>
      </c>
      <c r="J190" s="54" t="s">
        <v>241</v>
      </c>
      <c r="K190" s="52">
        <v>1.0</v>
      </c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>
      <c r="A191" s="34"/>
      <c r="B191" s="49"/>
      <c r="H191" s="53" t="s">
        <v>5</v>
      </c>
      <c r="I191" s="53">
        <v>1.0</v>
      </c>
      <c r="J191" s="54" t="s">
        <v>242</v>
      </c>
      <c r="K191" s="52">
        <v>1.0</v>
      </c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>
      <c r="A192" s="34"/>
      <c r="B192" s="55"/>
      <c r="C192" s="56"/>
      <c r="D192" s="56"/>
      <c r="E192" s="56"/>
      <c r="F192" s="56"/>
      <c r="G192" s="56"/>
      <c r="H192" s="57" t="s">
        <v>243</v>
      </c>
      <c r="I192" s="57">
        <v>1.0</v>
      </c>
      <c r="J192" s="58" t="s">
        <v>244</v>
      </c>
      <c r="K192" s="59">
        <v>1.0</v>
      </c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>
      <c r="A193" s="34"/>
      <c r="B193" s="61" t="s">
        <v>140</v>
      </c>
      <c r="C193" s="62">
        <v>46122.0</v>
      </c>
      <c r="D193" s="63">
        <v>0.45622685185185186</v>
      </c>
      <c r="E193" s="64" t="s">
        <v>204</v>
      </c>
      <c r="F193" s="64" t="s">
        <v>104</v>
      </c>
      <c r="G193" s="64" t="s">
        <v>105</v>
      </c>
      <c r="H193" s="65" t="s">
        <v>2</v>
      </c>
      <c r="I193" s="65">
        <v>3.0</v>
      </c>
      <c r="J193" s="66" t="s">
        <v>245</v>
      </c>
      <c r="K193" s="67">
        <v>3.0</v>
      </c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>
      <c r="A194" s="34"/>
      <c r="B194" s="49"/>
      <c r="H194" s="53" t="s">
        <v>246</v>
      </c>
      <c r="I194" s="53">
        <v>3.0</v>
      </c>
      <c r="J194" s="54" t="s">
        <v>247</v>
      </c>
      <c r="K194" s="52">
        <v>3.0</v>
      </c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>
      <c r="A195" s="34"/>
      <c r="B195" s="49"/>
      <c r="H195" s="68" t="s">
        <v>145</v>
      </c>
      <c r="I195" s="68">
        <v>1.0</v>
      </c>
      <c r="J195" s="51" t="s">
        <v>248</v>
      </c>
      <c r="K195" s="52">
        <v>1.0</v>
      </c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>
      <c r="A196" s="34"/>
      <c r="B196" s="49"/>
      <c r="H196" s="53" t="s">
        <v>249</v>
      </c>
      <c r="I196" s="53">
        <v>1.0</v>
      </c>
      <c r="J196" s="54" t="s">
        <v>250</v>
      </c>
      <c r="K196" s="52">
        <v>1.0</v>
      </c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>
      <c r="A197" s="34"/>
      <c r="B197" s="49"/>
      <c r="H197" s="53" t="s">
        <v>30</v>
      </c>
      <c r="I197" s="53">
        <v>1.0</v>
      </c>
      <c r="J197" s="54" t="s">
        <v>251</v>
      </c>
      <c r="K197" s="52">
        <v>1.0</v>
      </c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>
      <c r="A198" s="34"/>
      <c r="B198" s="49"/>
      <c r="H198" s="68" t="s">
        <v>252</v>
      </c>
      <c r="I198" s="68">
        <v>1.0</v>
      </c>
      <c r="J198" s="90" t="s">
        <v>253</v>
      </c>
      <c r="K198" s="80">
        <v>1.0</v>
      </c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>
      <c r="A199" s="34"/>
      <c r="B199" s="55"/>
      <c r="C199" s="56"/>
      <c r="D199" s="56"/>
      <c r="E199" s="56"/>
      <c r="F199" s="56"/>
      <c r="G199" s="56"/>
      <c r="H199" s="57" t="s">
        <v>160</v>
      </c>
      <c r="I199" s="57">
        <v>1.0</v>
      </c>
      <c r="J199" s="58" t="s">
        <v>254</v>
      </c>
      <c r="K199" s="59">
        <v>1.0</v>
      </c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>
      <c r="A200" s="34"/>
      <c r="B200" s="61" t="s">
        <v>147</v>
      </c>
      <c r="C200" s="62">
        <v>46122.0</v>
      </c>
      <c r="D200" s="63">
        <v>0.4637384259259259</v>
      </c>
      <c r="E200" s="64" t="s">
        <v>204</v>
      </c>
      <c r="F200" s="64" t="s">
        <v>104</v>
      </c>
      <c r="G200" s="64" t="s">
        <v>105</v>
      </c>
      <c r="H200" s="65" t="s">
        <v>2</v>
      </c>
      <c r="I200" s="65">
        <v>1.0</v>
      </c>
      <c r="J200" s="66" t="s">
        <v>245</v>
      </c>
      <c r="K200" s="67">
        <v>1.0</v>
      </c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>
      <c r="A201" s="34"/>
      <c r="B201" s="49"/>
      <c r="H201" s="53" t="s">
        <v>246</v>
      </c>
      <c r="I201" s="53">
        <v>1.0</v>
      </c>
      <c r="J201" s="54" t="s">
        <v>247</v>
      </c>
      <c r="K201" s="52">
        <v>1.0</v>
      </c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>
      <c r="A202" s="34"/>
      <c r="B202" s="49"/>
      <c r="H202" s="53" t="s">
        <v>30</v>
      </c>
      <c r="I202" s="53">
        <v>1.0</v>
      </c>
      <c r="J202" s="54" t="s">
        <v>251</v>
      </c>
      <c r="K202" s="52">
        <v>1.0</v>
      </c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>
      <c r="A203" s="34"/>
      <c r="B203" s="49"/>
      <c r="H203" s="53" t="s">
        <v>255</v>
      </c>
      <c r="I203" s="53">
        <v>1.0</v>
      </c>
      <c r="J203" s="54" t="s">
        <v>256</v>
      </c>
      <c r="K203" s="52">
        <v>1.0</v>
      </c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>
      <c r="A204" s="34"/>
      <c r="B204" s="49"/>
      <c r="H204" s="68" t="s">
        <v>257</v>
      </c>
      <c r="I204" s="68">
        <v>1.0</v>
      </c>
      <c r="J204" s="90" t="s">
        <v>258</v>
      </c>
      <c r="K204" s="80">
        <v>1.0</v>
      </c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>
      <c r="A205" s="34"/>
      <c r="B205" s="55"/>
      <c r="C205" s="56"/>
      <c r="D205" s="56"/>
      <c r="E205" s="56"/>
      <c r="F205" s="56"/>
      <c r="G205" s="56"/>
      <c r="H205" s="57" t="s">
        <v>259</v>
      </c>
      <c r="I205" s="57">
        <v>1.0</v>
      </c>
      <c r="J205" s="58" t="s">
        <v>260</v>
      </c>
      <c r="K205" s="59">
        <v>1.0</v>
      </c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>
      <c r="A206" s="34"/>
      <c r="B206" s="61" t="s">
        <v>150</v>
      </c>
      <c r="C206" s="62">
        <v>46122.0</v>
      </c>
      <c r="D206" s="63">
        <v>0.4677662037037037</v>
      </c>
      <c r="E206" s="64" t="s">
        <v>204</v>
      </c>
      <c r="F206" s="64" t="s">
        <v>104</v>
      </c>
      <c r="G206" s="64" t="s">
        <v>105</v>
      </c>
      <c r="H206" s="65" t="s">
        <v>2</v>
      </c>
      <c r="I206" s="65">
        <v>1.0</v>
      </c>
      <c r="J206" s="66" t="s">
        <v>245</v>
      </c>
      <c r="K206" s="67">
        <v>1.0</v>
      </c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>
      <c r="A207" s="34"/>
      <c r="B207" s="49"/>
      <c r="H207" s="53" t="s">
        <v>246</v>
      </c>
      <c r="I207" s="53">
        <v>1.0</v>
      </c>
      <c r="J207" s="54" t="s">
        <v>247</v>
      </c>
      <c r="K207" s="52">
        <v>1.0</v>
      </c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>
      <c r="A208" s="34"/>
      <c r="B208" s="49"/>
      <c r="H208" s="68" t="s">
        <v>257</v>
      </c>
      <c r="I208" s="68">
        <v>1.0</v>
      </c>
      <c r="J208" s="90" t="s">
        <v>258</v>
      </c>
      <c r="K208" s="80">
        <v>1.0</v>
      </c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>
      <c r="A209" s="34"/>
      <c r="B209" s="55"/>
      <c r="C209" s="56"/>
      <c r="D209" s="56"/>
      <c r="E209" s="56"/>
      <c r="F209" s="56"/>
      <c r="G209" s="56"/>
      <c r="H209" s="57" t="s">
        <v>145</v>
      </c>
      <c r="I209" s="57">
        <v>1.0</v>
      </c>
      <c r="J209" s="58" t="s">
        <v>261</v>
      </c>
      <c r="K209" s="59">
        <v>1.0</v>
      </c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>
      <c r="A210" s="34"/>
      <c r="B210" s="61" t="s">
        <v>154</v>
      </c>
      <c r="C210" s="62">
        <v>46122.0</v>
      </c>
      <c r="D210" s="63">
        <v>0.47011574074074075</v>
      </c>
      <c r="E210" s="64" t="s">
        <v>204</v>
      </c>
      <c r="F210" s="64" t="s">
        <v>104</v>
      </c>
      <c r="G210" s="64" t="s">
        <v>105</v>
      </c>
      <c r="H210" s="65" t="s">
        <v>2</v>
      </c>
      <c r="I210" s="65">
        <v>1.0</v>
      </c>
      <c r="J210" s="66" t="s">
        <v>245</v>
      </c>
      <c r="K210" s="67">
        <v>1.0</v>
      </c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>
      <c r="A211" s="34"/>
      <c r="B211" s="49"/>
      <c r="H211" s="53" t="s">
        <v>30</v>
      </c>
      <c r="I211" s="53">
        <v>1.0</v>
      </c>
      <c r="J211" s="54" t="s">
        <v>251</v>
      </c>
      <c r="K211" s="52">
        <v>1.0</v>
      </c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>
      <c r="A212" s="34"/>
      <c r="B212" s="49"/>
      <c r="H212" s="53" t="s">
        <v>23</v>
      </c>
      <c r="I212" s="53">
        <v>1.0</v>
      </c>
      <c r="J212" s="54" t="s">
        <v>262</v>
      </c>
      <c r="K212" s="52">
        <v>1.0</v>
      </c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>
      <c r="A213" s="34"/>
      <c r="B213" s="49"/>
      <c r="H213" s="53" t="s">
        <v>255</v>
      </c>
      <c r="I213" s="53">
        <v>1.0</v>
      </c>
      <c r="J213" s="54" t="s">
        <v>256</v>
      </c>
      <c r="K213" s="52">
        <v>1.0</v>
      </c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>
      <c r="A214" s="34"/>
      <c r="B214" s="49"/>
      <c r="H214" s="53" t="s">
        <v>246</v>
      </c>
      <c r="I214" s="53">
        <v>1.0</v>
      </c>
      <c r="J214" s="54" t="s">
        <v>247</v>
      </c>
      <c r="K214" s="52">
        <v>1.0</v>
      </c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>
      <c r="A215" s="34"/>
      <c r="B215" s="55"/>
      <c r="C215" s="56"/>
      <c r="D215" s="56"/>
      <c r="E215" s="56"/>
      <c r="F215" s="56"/>
      <c r="G215" s="56"/>
      <c r="H215" s="57" t="s">
        <v>263</v>
      </c>
      <c r="I215" s="57">
        <v>1.0</v>
      </c>
      <c r="J215" s="58" t="s">
        <v>264</v>
      </c>
      <c r="K215" s="59">
        <v>1.0</v>
      </c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>
      <c r="A216" s="34"/>
      <c r="B216" s="61" t="s">
        <v>157</v>
      </c>
      <c r="C216" s="62">
        <v>46122.0</v>
      </c>
      <c r="D216" s="63">
        <v>0.47399305555555554</v>
      </c>
      <c r="E216" s="64" t="s">
        <v>204</v>
      </c>
      <c r="F216" s="64" t="s">
        <v>104</v>
      </c>
      <c r="G216" s="64" t="s">
        <v>105</v>
      </c>
      <c r="H216" s="65" t="s">
        <v>2</v>
      </c>
      <c r="I216" s="65">
        <v>1.0</v>
      </c>
      <c r="J216" s="66" t="s">
        <v>245</v>
      </c>
      <c r="K216" s="67">
        <v>1.0</v>
      </c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>
      <c r="A217" s="34"/>
      <c r="B217" s="49"/>
      <c r="H217" s="53" t="s">
        <v>30</v>
      </c>
      <c r="I217" s="53">
        <v>1.0</v>
      </c>
      <c r="J217" s="54" t="s">
        <v>251</v>
      </c>
      <c r="K217" s="52">
        <v>1.0</v>
      </c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>
      <c r="A218" s="34"/>
      <c r="B218" s="49"/>
      <c r="H218" s="53" t="s">
        <v>246</v>
      </c>
      <c r="I218" s="53">
        <v>1.0</v>
      </c>
      <c r="J218" s="54" t="s">
        <v>247</v>
      </c>
      <c r="K218" s="52">
        <v>1.0</v>
      </c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>
      <c r="A219" s="34"/>
      <c r="B219" s="49"/>
      <c r="H219" s="53" t="s">
        <v>255</v>
      </c>
      <c r="I219" s="53">
        <v>1.0</v>
      </c>
      <c r="J219" s="54" t="s">
        <v>256</v>
      </c>
      <c r="K219" s="52">
        <v>1.0</v>
      </c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>
      <c r="A220" s="34"/>
      <c r="B220" s="55"/>
      <c r="C220" s="56"/>
      <c r="D220" s="56"/>
      <c r="E220" s="56"/>
      <c r="F220" s="56"/>
      <c r="G220" s="56"/>
      <c r="H220" s="68" t="s">
        <v>257</v>
      </c>
      <c r="I220" s="68">
        <v>1.0</v>
      </c>
      <c r="J220" s="90" t="s">
        <v>258</v>
      </c>
      <c r="K220" s="80">
        <v>1.0</v>
      </c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>
      <c r="A221" s="34"/>
      <c r="B221" s="61" t="s">
        <v>159</v>
      </c>
      <c r="C221" s="62">
        <v>46122.0</v>
      </c>
      <c r="D221" s="63">
        <v>0.47627314814814814</v>
      </c>
      <c r="E221" s="64" t="s">
        <v>204</v>
      </c>
      <c r="F221" s="64" t="s">
        <v>104</v>
      </c>
      <c r="G221" s="64" t="s">
        <v>105</v>
      </c>
      <c r="H221" s="65" t="s">
        <v>2</v>
      </c>
      <c r="I221" s="65">
        <v>1.0</v>
      </c>
      <c r="J221" s="66" t="s">
        <v>245</v>
      </c>
      <c r="K221" s="67">
        <v>1.0</v>
      </c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>
      <c r="A222" s="34"/>
      <c r="B222" s="49"/>
      <c r="H222" s="68" t="s">
        <v>145</v>
      </c>
      <c r="I222" s="68">
        <v>1.0</v>
      </c>
      <c r="J222" s="51" t="s">
        <v>248</v>
      </c>
      <c r="K222" s="52">
        <v>1.0</v>
      </c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>
      <c r="A223" s="34"/>
      <c r="B223" s="49"/>
      <c r="H223" s="53" t="s">
        <v>252</v>
      </c>
      <c r="I223" s="53">
        <v>1.0</v>
      </c>
      <c r="J223" s="54" t="s">
        <v>253</v>
      </c>
      <c r="K223" s="52">
        <v>1.0</v>
      </c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>
      <c r="A224" s="34"/>
      <c r="B224" s="49"/>
      <c r="H224" s="53" t="s">
        <v>265</v>
      </c>
      <c r="I224" s="53">
        <v>1.0</v>
      </c>
      <c r="J224" s="54" t="s">
        <v>266</v>
      </c>
      <c r="K224" s="52">
        <v>1.0</v>
      </c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>
      <c r="A225" s="34"/>
      <c r="B225" s="49"/>
      <c r="H225" s="53" t="s">
        <v>246</v>
      </c>
      <c r="I225" s="53">
        <v>2.0</v>
      </c>
      <c r="J225" s="54" t="s">
        <v>247</v>
      </c>
      <c r="K225" s="52">
        <v>2.0</v>
      </c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>
      <c r="A226" s="34"/>
      <c r="B226" s="49"/>
      <c r="H226" s="53" t="s">
        <v>259</v>
      </c>
      <c r="I226" s="53">
        <v>1.0</v>
      </c>
      <c r="J226" s="54" t="s">
        <v>260</v>
      </c>
      <c r="K226" s="52">
        <v>1.0</v>
      </c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>
      <c r="A227" s="34"/>
      <c r="B227" s="49"/>
      <c r="H227" s="53" t="s">
        <v>30</v>
      </c>
      <c r="I227" s="53">
        <v>1.0</v>
      </c>
      <c r="J227" s="54" t="s">
        <v>251</v>
      </c>
      <c r="K227" s="52">
        <v>1.0</v>
      </c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>
      <c r="A228" s="34"/>
      <c r="B228" s="55"/>
      <c r="C228" s="56"/>
      <c r="D228" s="56"/>
      <c r="E228" s="56"/>
      <c r="F228" s="56"/>
      <c r="G228" s="56"/>
      <c r="H228" s="53" t="s">
        <v>23</v>
      </c>
      <c r="I228" s="53">
        <v>1.0</v>
      </c>
      <c r="J228" s="54" t="s">
        <v>262</v>
      </c>
      <c r="K228" s="52">
        <v>1.0</v>
      </c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>
      <c r="A229" s="34"/>
      <c r="B229" s="61" t="s">
        <v>162</v>
      </c>
      <c r="C229" s="62">
        <v>46122.0</v>
      </c>
      <c r="D229" s="63">
        <v>0.4815277777777778</v>
      </c>
      <c r="E229" s="64" t="s">
        <v>204</v>
      </c>
      <c r="F229" s="64" t="s">
        <v>104</v>
      </c>
      <c r="G229" s="64" t="s">
        <v>105</v>
      </c>
      <c r="H229" s="64" t="s">
        <v>2</v>
      </c>
      <c r="I229" s="64">
        <v>3.0</v>
      </c>
      <c r="J229" s="66" t="s">
        <v>245</v>
      </c>
      <c r="K229" s="67">
        <v>2.0</v>
      </c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>
      <c r="A230" s="34"/>
      <c r="B230" s="49"/>
      <c r="H230" s="50"/>
      <c r="I230" s="50"/>
      <c r="J230" s="47" t="s">
        <v>267</v>
      </c>
      <c r="K230" s="48">
        <v>1.0</v>
      </c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>
      <c r="A231" s="34"/>
      <c r="B231" s="49"/>
      <c r="H231" s="53" t="s">
        <v>268</v>
      </c>
      <c r="I231" s="53">
        <v>1.0</v>
      </c>
      <c r="J231" s="54" t="s">
        <v>269</v>
      </c>
      <c r="K231" s="52">
        <v>1.0</v>
      </c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>
      <c r="A232" s="34"/>
      <c r="B232" s="49"/>
      <c r="H232" s="53" t="s">
        <v>30</v>
      </c>
      <c r="I232" s="53">
        <v>1.0</v>
      </c>
      <c r="J232" s="54" t="s">
        <v>251</v>
      </c>
      <c r="K232" s="52">
        <v>1.0</v>
      </c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>
      <c r="A233" s="34"/>
      <c r="B233" s="49"/>
      <c r="H233" s="87" t="s">
        <v>270</v>
      </c>
      <c r="I233" s="87">
        <v>1.0</v>
      </c>
      <c r="J233" s="54" t="s">
        <v>271</v>
      </c>
      <c r="K233" s="52">
        <v>1.0</v>
      </c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>
      <c r="A234" s="34"/>
      <c r="B234" s="49"/>
      <c r="H234" s="32" t="s">
        <v>272</v>
      </c>
      <c r="I234" s="32">
        <v>1.0</v>
      </c>
      <c r="J234" s="90" t="s">
        <v>273</v>
      </c>
      <c r="K234" s="80">
        <v>1.0</v>
      </c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>
      <c r="A235" s="34"/>
      <c r="B235" s="55"/>
      <c r="C235" s="56"/>
      <c r="D235" s="56"/>
      <c r="E235" s="56"/>
      <c r="F235" s="56"/>
      <c r="G235" s="56"/>
      <c r="H235" s="57" t="s">
        <v>160</v>
      </c>
      <c r="I235" s="57">
        <v>1.0</v>
      </c>
      <c r="J235" s="58" t="s">
        <v>254</v>
      </c>
      <c r="K235" s="59">
        <v>1.0</v>
      </c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>
      <c r="A236" s="34"/>
      <c r="B236" s="61" t="s">
        <v>166</v>
      </c>
      <c r="C236" s="62">
        <v>46122.0</v>
      </c>
      <c r="D236" s="63">
        <v>0.48672453703703705</v>
      </c>
      <c r="E236" s="64" t="s">
        <v>204</v>
      </c>
      <c r="F236" s="64" t="s">
        <v>104</v>
      </c>
      <c r="G236" s="64" t="s">
        <v>105</v>
      </c>
      <c r="H236" s="65" t="s">
        <v>2</v>
      </c>
      <c r="I236" s="65">
        <v>1.0</v>
      </c>
      <c r="J236" s="66" t="s">
        <v>245</v>
      </c>
      <c r="K236" s="67">
        <v>1.0</v>
      </c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>
      <c r="A237" s="34"/>
      <c r="B237" s="49"/>
      <c r="H237" s="53" t="s">
        <v>30</v>
      </c>
      <c r="I237" s="53">
        <v>1.0</v>
      </c>
      <c r="J237" s="54" t="s">
        <v>251</v>
      </c>
      <c r="K237" s="52">
        <v>1.0</v>
      </c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>
      <c r="A238" s="34"/>
      <c r="B238" s="49"/>
      <c r="H238" s="53" t="s">
        <v>274</v>
      </c>
      <c r="I238" s="53">
        <v>1.0</v>
      </c>
      <c r="J238" s="54" t="s">
        <v>275</v>
      </c>
      <c r="K238" s="52">
        <v>1.0</v>
      </c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>
      <c r="A239" s="34"/>
      <c r="B239" s="55"/>
      <c r="C239" s="56"/>
      <c r="D239" s="56"/>
      <c r="E239" s="56"/>
      <c r="F239" s="56"/>
      <c r="G239" s="56"/>
      <c r="H239" s="57" t="s">
        <v>145</v>
      </c>
      <c r="I239" s="57">
        <v>1.0</v>
      </c>
      <c r="J239" s="58" t="s">
        <v>276</v>
      </c>
      <c r="K239" s="59">
        <v>1.0</v>
      </c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>
      <c r="A240" s="34"/>
      <c r="B240" s="61" t="s">
        <v>172</v>
      </c>
      <c r="C240" s="62">
        <v>46122.0</v>
      </c>
      <c r="D240" s="63">
        <v>0.48921296296296296</v>
      </c>
      <c r="E240" s="64" t="s">
        <v>277</v>
      </c>
      <c r="F240" s="64" t="s">
        <v>104</v>
      </c>
      <c r="G240" s="64" t="s">
        <v>105</v>
      </c>
      <c r="H240" s="65" t="s">
        <v>2</v>
      </c>
      <c r="I240" s="65">
        <v>1.0</v>
      </c>
      <c r="J240" s="66" t="s">
        <v>245</v>
      </c>
      <c r="K240" s="67">
        <v>1.0</v>
      </c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>
      <c r="A241" s="34"/>
      <c r="B241" s="49"/>
      <c r="H241" s="53" t="s">
        <v>23</v>
      </c>
      <c r="I241" s="53">
        <v>1.0</v>
      </c>
      <c r="J241" s="54" t="s">
        <v>262</v>
      </c>
      <c r="K241" s="52">
        <v>1.0</v>
      </c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>
      <c r="A242" s="34"/>
      <c r="B242" s="55"/>
      <c r="C242" s="56"/>
      <c r="D242" s="56"/>
      <c r="E242" s="56"/>
      <c r="F242" s="56"/>
      <c r="G242" s="56"/>
      <c r="H242" s="57" t="s">
        <v>214</v>
      </c>
      <c r="I242" s="57">
        <v>1.0</v>
      </c>
      <c r="J242" s="58" t="s">
        <v>278</v>
      </c>
      <c r="K242" s="59">
        <v>1.0</v>
      </c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>
      <c r="A243" s="34"/>
      <c r="B243" s="61" t="s">
        <v>175</v>
      </c>
      <c r="C243" s="62">
        <v>46122.0</v>
      </c>
      <c r="D243" s="63">
        <v>0.491099537037037</v>
      </c>
      <c r="E243" s="64" t="s">
        <v>204</v>
      </c>
      <c r="F243" s="64" t="s">
        <v>104</v>
      </c>
      <c r="G243" s="64" t="s">
        <v>105</v>
      </c>
      <c r="H243" s="65" t="s">
        <v>274</v>
      </c>
      <c r="I243" s="65">
        <v>1.0</v>
      </c>
      <c r="J243" s="66" t="s">
        <v>279</v>
      </c>
      <c r="K243" s="67">
        <v>1.0</v>
      </c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>
      <c r="A244" s="34"/>
      <c r="B244" s="49"/>
      <c r="H244" s="92" t="s">
        <v>30</v>
      </c>
      <c r="I244" s="68">
        <v>2.0</v>
      </c>
      <c r="J244" s="51" t="s">
        <v>251</v>
      </c>
      <c r="K244" s="52">
        <v>1.0</v>
      </c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>
      <c r="A245" s="34"/>
      <c r="B245" s="49"/>
      <c r="H245" s="50"/>
      <c r="I245" s="50"/>
      <c r="J245" s="54" t="s">
        <v>280</v>
      </c>
      <c r="K245" s="52">
        <v>1.0</v>
      </c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>
      <c r="A246" s="34"/>
      <c r="B246" s="49"/>
      <c r="H246" s="53" t="s">
        <v>281</v>
      </c>
      <c r="I246" s="53">
        <v>1.0</v>
      </c>
      <c r="J246" s="54" t="s">
        <v>282</v>
      </c>
      <c r="K246" s="52">
        <v>1.0</v>
      </c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>
      <c r="A247" s="34"/>
      <c r="B247" s="55"/>
      <c r="C247" s="56"/>
      <c r="D247" s="56"/>
      <c r="E247" s="56"/>
      <c r="F247" s="56"/>
      <c r="G247" s="56"/>
      <c r="H247" s="53" t="s">
        <v>19</v>
      </c>
      <c r="I247" s="53">
        <v>1.0</v>
      </c>
      <c r="J247" s="54" t="s">
        <v>283</v>
      </c>
      <c r="K247" s="52">
        <v>1.0</v>
      </c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>
      <c r="A248" s="34"/>
      <c r="B248" s="61" t="s">
        <v>178</v>
      </c>
      <c r="C248" s="62">
        <v>46122.0</v>
      </c>
      <c r="D248" s="63">
        <v>0.49453703703703705</v>
      </c>
      <c r="E248" s="64" t="s">
        <v>204</v>
      </c>
      <c r="F248" s="64" t="s">
        <v>104</v>
      </c>
      <c r="G248" s="64" t="s">
        <v>105</v>
      </c>
      <c r="H248" s="65" t="s">
        <v>284</v>
      </c>
      <c r="I248" s="65">
        <v>1.0</v>
      </c>
      <c r="J248" s="66" t="s">
        <v>285</v>
      </c>
      <c r="K248" s="67">
        <v>1.0</v>
      </c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>
      <c r="A249" s="34"/>
      <c r="B249" s="49"/>
      <c r="H249" s="76" t="s">
        <v>190</v>
      </c>
      <c r="I249" s="53">
        <v>1.0</v>
      </c>
      <c r="J249" s="51" t="s">
        <v>286</v>
      </c>
      <c r="K249" s="52">
        <v>1.0</v>
      </c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>
      <c r="A250" s="34"/>
      <c r="B250" s="49"/>
      <c r="H250" s="53" t="s">
        <v>133</v>
      </c>
      <c r="I250" s="53">
        <v>1.0</v>
      </c>
      <c r="J250" s="54" t="s">
        <v>287</v>
      </c>
      <c r="K250" s="52">
        <v>1.0</v>
      </c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>
      <c r="A251" s="34"/>
      <c r="B251" s="49"/>
      <c r="H251" s="68" t="s">
        <v>11</v>
      </c>
      <c r="I251" s="68">
        <v>1.0</v>
      </c>
      <c r="J251" s="79" t="s">
        <v>288</v>
      </c>
      <c r="K251" s="80">
        <v>1.0</v>
      </c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>
      <c r="A252" s="34"/>
      <c r="B252" s="49"/>
      <c r="H252" s="68" t="s">
        <v>289</v>
      </c>
      <c r="I252" s="68">
        <v>1.0</v>
      </c>
      <c r="J252" s="90" t="s">
        <v>290</v>
      </c>
      <c r="K252" s="80">
        <v>1.0</v>
      </c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>
      <c r="A253" s="34"/>
      <c r="B253" s="55"/>
      <c r="C253" s="56"/>
      <c r="D253" s="56"/>
      <c r="E253" s="56"/>
      <c r="F253" s="56"/>
      <c r="G253" s="56"/>
      <c r="H253" s="57" t="s">
        <v>21</v>
      </c>
      <c r="I253" s="57">
        <v>1.0</v>
      </c>
      <c r="J253" s="78" t="s">
        <v>291</v>
      </c>
      <c r="K253" s="59">
        <v>1.0</v>
      </c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>
      <c r="A254" s="34"/>
      <c r="B254" s="61" t="s">
        <v>184</v>
      </c>
      <c r="C254" s="62">
        <v>46123.0</v>
      </c>
      <c r="D254" s="63">
        <v>0.6216087962962963</v>
      </c>
      <c r="E254" s="64" t="s">
        <v>204</v>
      </c>
      <c r="F254" s="64" t="s">
        <v>104</v>
      </c>
      <c r="G254" s="64" t="s">
        <v>105</v>
      </c>
      <c r="H254" s="65" t="s">
        <v>284</v>
      </c>
      <c r="I254" s="65">
        <v>1.0</v>
      </c>
      <c r="J254" s="66" t="s">
        <v>285</v>
      </c>
      <c r="K254" s="67">
        <v>1.0</v>
      </c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>
      <c r="A255" s="34"/>
      <c r="B255" s="49"/>
      <c r="H255" s="76" t="s">
        <v>21</v>
      </c>
      <c r="I255" s="53">
        <v>1.0</v>
      </c>
      <c r="J255" s="54" t="s">
        <v>291</v>
      </c>
      <c r="K255" s="52">
        <v>1.0</v>
      </c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>
      <c r="A256" s="34"/>
      <c r="B256" s="49"/>
      <c r="H256" s="76" t="s">
        <v>190</v>
      </c>
      <c r="I256" s="53">
        <v>1.0</v>
      </c>
      <c r="J256" s="51" t="s">
        <v>286</v>
      </c>
      <c r="K256" s="52">
        <v>1.0</v>
      </c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>
      <c r="A257" s="34"/>
      <c r="B257" s="49"/>
      <c r="H257" s="68" t="s">
        <v>292</v>
      </c>
      <c r="I257" s="68">
        <v>1.0</v>
      </c>
      <c r="J257" s="90" t="s">
        <v>293</v>
      </c>
      <c r="K257" s="80">
        <v>1.0</v>
      </c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>
      <c r="A258" s="34"/>
      <c r="B258" s="49"/>
      <c r="H258" s="53" t="s">
        <v>133</v>
      </c>
      <c r="I258" s="53">
        <v>1.0</v>
      </c>
      <c r="J258" s="54" t="s">
        <v>287</v>
      </c>
      <c r="K258" s="52">
        <v>1.0</v>
      </c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>
      <c r="A259" s="34"/>
      <c r="B259" s="49"/>
      <c r="H259" s="68" t="s">
        <v>22</v>
      </c>
      <c r="I259" s="68">
        <v>2.0</v>
      </c>
      <c r="J259" s="90" t="s">
        <v>294</v>
      </c>
      <c r="K259" s="80">
        <v>2.0</v>
      </c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>
      <c r="A260" s="34"/>
      <c r="B260" s="55"/>
      <c r="C260" s="56"/>
      <c r="D260" s="56"/>
      <c r="E260" s="56"/>
      <c r="F260" s="56"/>
      <c r="G260" s="56"/>
      <c r="H260" s="57" t="s">
        <v>8</v>
      </c>
      <c r="I260" s="57">
        <v>1.0</v>
      </c>
      <c r="J260" s="58" t="s">
        <v>295</v>
      </c>
      <c r="K260" s="59">
        <v>1.0</v>
      </c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>
      <c r="A261" s="34"/>
      <c r="B261" s="61" t="s">
        <v>186</v>
      </c>
      <c r="C261" s="62">
        <v>46123.0</v>
      </c>
      <c r="D261" s="63">
        <v>0.6255671296296297</v>
      </c>
      <c r="E261" s="64" t="s">
        <v>204</v>
      </c>
      <c r="F261" s="64" t="s">
        <v>104</v>
      </c>
      <c r="G261" s="64" t="s">
        <v>105</v>
      </c>
      <c r="H261" s="65" t="s">
        <v>284</v>
      </c>
      <c r="I261" s="65">
        <v>1.0</v>
      </c>
      <c r="J261" s="66" t="s">
        <v>285</v>
      </c>
      <c r="K261" s="67">
        <v>1.0</v>
      </c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>
      <c r="A262" s="34"/>
      <c r="B262" s="49"/>
      <c r="H262" s="76" t="s">
        <v>21</v>
      </c>
      <c r="I262" s="53">
        <v>1.0</v>
      </c>
      <c r="J262" s="54" t="s">
        <v>291</v>
      </c>
      <c r="K262" s="52">
        <v>1.0</v>
      </c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>
      <c r="A263" s="34"/>
      <c r="B263" s="49"/>
      <c r="H263" s="53" t="s">
        <v>6</v>
      </c>
      <c r="I263" s="53">
        <v>1.0</v>
      </c>
      <c r="J263" s="54" t="s">
        <v>296</v>
      </c>
      <c r="K263" s="52">
        <v>1.0</v>
      </c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>
      <c r="A264" s="34"/>
      <c r="B264" s="49"/>
      <c r="H264" s="68" t="s">
        <v>11</v>
      </c>
      <c r="I264" s="68">
        <v>1.0</v>
      </c>
      <c r="J264" s="79" t="s">
        <v>288</v>
      </c>
      <c r="K264" s="80">
        <v>1.0</v>
      </c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>
      <c r="A265" s="34"/>
      <c r="B265" s="49"/>
      <c r="H265" s="68" t="s">
        <v>289</v>
      </c>
      <c r="I265" s="68">
        <v>1.0</v>
      </c>
      <c r="J265" s="90" t="s">
        <v>290</v>
      </c>
      <c r="K265" s="80">
        <v>1.0</v>
      </c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>
      <c r="A266" s="34"/>
      <c r="B266" s="49"/>
      <c r="H266" s="53" t="s">
        <v>133</v>
      </c>
      <c r="I266" s="53">
        <v>1.0</v>
      </c>
      <c r="J266" s="54" t="s">
        <v>287</v>
      </c>
      <c r="K266" s="52">
        <v>1.0</v>
      </c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>
      <c r="A267" s="34"/>
      <c r="B267" s="55"/>
      <c r="C267" s="56"/>
      <c r="D267" s="56"/>
      <c r="E267" s="56"/>
      <c r="F267" s="56"/>
      <c r="G267" s="56"/>
      <c r="H267" s="57" t="s">
        <v>26</v>
      </c>
      <c r="I267" s="57">
        <v>1.0</v>
      </c>
      <c r="J267" s="78" t="s">
        <v>297</v>
      </c>
      <c r="K267" s="59">
        <v>1.0</v>
      </c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>
      <c r="A268" s="34"/>
      <c r="B268" s="61" t="s">
        <v>188</v>
      </c>
      <c r="C268" s="62">
        <v>46123.0</v>
      </c>
      <c r="D268" s="63">
        <v>0.6290740740740741</v>
      </c>
      <c r="E268" s="64" t="s">
        <v>204</v>
      </c>
      <c r="F268" s="64" t="s">
        <v>104</v>
      </c>
      <c r="G268" s="64" t="s">
        <v>105</v>
      </c>
      <c r="H268" s="65" t="s">
        <v>284</v>
      </c>
      <c r="I268" s="65">
        <v>1.0</v>
      </c>
      <c r="J268" s="66" t="s">
        <v>285</v>
      </c>
      <c r="K268" s="67">
        <v>1.0</v>
      </c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>
      <c r="A269" s="34"/>
      <c r="B269" s="49"/>
      <c r="H269" s="68" t="s">
        <v>292</v>
      </c>
      <c r="I269" s="68">
        <v>1.0</v>
      </c>
      <c r="J269" s="90" t="s">
        <v>293</v>
      </c>
      <c r="K269" s="80">
        <v>1.0</v>
      </c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>
      <c r="A270" s="34"/>
      <c r="B270" s="49"/>
      <c r="H270" s="76" t="s">
        <v>21</v>
      </c>
      <c r="I270" s="53">
        <v>1.0</v>
      </c>
      <c r="J270" s="54" t="s">
        <v>291</v>
      </c>
      <c r="K270" s="52">
        <v>1.0</v>
      </c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>
      <c r="A271" s="34"/>
      <c r="B271" s="55"/>
      <c r="C271" s="56"/>
      <c r="D271" s="56"/>
      <c r="E271" s="56"/>
      <c r="F271" s="56"/>
      <c r="G271" s="56"/>
      <c r="H271" s="53" t="s">
        <v>133</v>
      </c>
      <c r="I271" s="53">
        <v>1.0</v>
      </c>
      <c r="J271" s="54" t="s">
        <v>287</v>
      </c>
      <c r="K271" s="52">
        <v>1.0</v>
      </c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>
      <c r="A272" s="34"/>
      <c r="B272" s="61" t="s">
        <v>189</v>
      </c>
      <c r="C272" s="62">
        <v>46123.0</v>
      </c>
      <c r="D272" s="63">
        <v>0.6306712962962963</v>
      </c>
      <c r="E272" s="64" t="s">
        <v>204</v>
      </c>
      <c r="F272" s="64" t="s">
        <v>104</v>
      </c>
      <c r="G272" s="64" t="s">
        <v>105</v>
      </c>
      <c r="H272" s="65" t="s">
        <v>298</v>
      </c>
      <c r="I272" s="65">
        <v>1.0</v>
      </c>
      <c r="J272" s="77" t="s">
        <v>299</v>
      </c>
      <c r="K272" s="67">
        <v>1.0</v>
      </c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>
      <c r="A273" s="34"/>
      <c r="B273" s="49"/>
      <c r="H273" s="87" t="s">
        <v>300</v>
      </c>
      <c r="I273" s="87">
        <v>1.0</v>
      </c>
      <c r="J273" s="47" t="s">
        <v>301</v>
      </c>
      <c r="K273" s="48">
        <v>1.0</v>
      </c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>
      <c r="A274" s="34"/>
      <c r="B274" s="49"/>
      <c r="H274" s="32" t="s">
        <v>302</v>
      </c>
      <c r="I274" s="32">
        <v>2.0</v>
      </c>
      <c r="J274" s="47" t="s">
        <v>303</v>
      </c>
      <c r="K274" s="48">
        <v>1.0</v>
      </c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>
      <c r="A275" s="34"/>
      <c r="B275" s="49"/>
      <c r="H275" s="50"/>
      <c r="I275" s="50"/>
      <c r="J275" s="47" t="s">
        <v>304</v>
      </c>
      <c r="K275" s="48">
        <v>1.0</v>
      </c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>
      <c r="A276" s="34"/>
      <c r="B276" s="49"/>
      <c r="H276" s="87" t="s">
        <v>305</v>
      </c>
      <c r="I276" s="87">
        <v>1.0</v>
      </c>
      <c r="J276" s="47" t="s">
        <v>306</v>
      </c>
      <c r="K276" s="48">
        <v>1.0</v>
      </c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>
      <c r="A277" s="34"/>
      <c r="B277" s="49"/>
      <c r="H277" s="87" t="s">
        <v>307</v>
      </c>
      <c r="I277" s="87">
        <v>1.0</v>
      </c>
      <c r="J277" s="47" t="s">
        <v>308</v>
      </c>
      <c r="K277" s="48">
        <v>1.0</v>
      </c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>
      <c r="A278" s="34"/>
      <c r="B278" s="49"/>
      <c r="H278" s="53" t="s">
        <v>309</v>
      </c>
      <c r="I278" s="53">
        <v>1.0</v>
      </c>
      <c r="J278" s="54" t="s">
        <v>310</v>
      </c>
      <c r="K278" s="52">
        <v>1.0</v>
      </c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>
      <c r="A279" s="34"/>
      <c r="B279" s="55"/>
      <c r="C279" s="56"/>
      <c r="D279" s="56"/>
      <c r="E279" s="56"/>
      <c r="F279" s="56"/>
      <c r="G279" s="56"/>
      <c r="H279" s="53" t="s">
        <v>311</v>
      </c>
      <c r="I279" s="53">
        <v>1.0</v>
      </c>
      <c r="J279" s="51" t="s">
        <v>312</v>
      </c>
      <c r="K279" s="52">
        <v>1.0</v>
      </c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>
      <c r="A280" s="34"/>
      <c r="B280" s="61" t="s">
        <v>192</v>
      </c>
      <c r="C280" s="62">
        <v>46123.0</v>
      </c>
      <c r="D280" s="63">
        <v>0.6359837962962963</v>
      </c>
      <c r="E280" s="64" t="s">
        <v>204</v>
      </c>
      <c r="F280" s="64" t="s">
        <v>104</v>
      </c>
      <c r="G280" s="64" t="s">
        <v>105</v>
      </c>
      <c r="H280" s="65" t="s">
        <v>133</v>
      </c>
      <c r="I280" s="65">
        <v>1.0</v>
      </c>
      <c r="J280" s="66" t="s">
        <v>287</v>
      </c>
      <c r="K280" s="67">
        <v>1.0</v>
      </c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>
      <c r="A281" s="34"/>
      <c r="B281" s="49"/>
      <c r="H281" s="53" t="s">
        <v>284</v>
      </c>
      <c r="I281" s="53">
        <v>1.0</v>
      </c>
      <c r="J281" s="54" t="s">
        <v>285</v>
      </c>
      <c r="K281" s="52">
        <v>1.0</v>
      </c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>
      <c r="A282" s="34"/>
      <c r="B282" s="49"/>
      <c r="H282" s="68" t="s">
        <v>11</v>
      </c>
      <c r="I282" s="68">
        <v>1.0</v>
      </c>
      <c r="J282" s="79" t="s">
        <v>288</v>
      </c>
      <c r="K282" s="80">
        <v>1.0</v>
      </c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>
      <c r="A283" s="34"/>
      <c r="B283" s="55"/>
      <c r="C283" s="56"/>
      <c r="D283" s="56"/>
      <c r="E283" s="56"/>
      <c r="F283" s="56"/>
      <c r="G283" s="56"/>
      <c r="H283" s="68" t="s">
        <v>22</v>
      </c>
      <c r="I283" s="68">
        <v>1.0</v>
      </c>
      <c r="J283" s="90" t="s">
        <v>294</v>
      </c>
      <c r="K283" s="80">
        <v>1.0</v>
      </c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>
      <c r="A284" s="34"/>
      <c r="B284" s="61" t="s">
        <v>197</v>
      </c>
      <c r="C284" s="62">
        <v>46123.0</v>
      </c>
      <c r="D284" s="63">
        <v>0.6383680555555555</v>
      </c>
      <c r="E284" s="64" t="s">
        <v>204</v>
      </c>
      <c r="F284" s="64" t="s">
        <v>104</v>
      </c>
      <c r="G284" s="64" t="s">
        <v>105</v>
      </c>
      <c r="H284" s="65" t="s">
        <v>284</v>
      </c>
      <c r="I284" s="65">
        <v>1.0</v>
      </c>
      <c r="J284" s="66" t="s">
        <v>285</v>
      </c>
      <c r="K284" s="67">
        <v>1.0</v>
      </c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>
      <c r="A285" s="34"/>
      <c r="B285" s="49"/>
      <c r="H285" s="76" t="s">
        <v>190</v>
      </c>
      <c r="I285" s="53">
        <v>1.0</v>
      </c>
      <c r="J285" s="51" t="s">
        <v>286</v>
      </c>
      <c r="K285" s="52">
        <v>1.0</v>
      </c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>
      <c r="A286" s="34"/>
      <c r="B286" s="49"/>
      <c r="H286" s="68" t="s">
        <v>289</v>
      </c>
      <c r="I286" s="68">
        <v>1.0</v>
      </c>
      <c r="J286" s="90" t="s">
        <v>290</v>
      </c>
      <c r="K286" s="80">
        <v>1.0</v>
      </c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>
      <c r="A287" s="34"/>
      <c r="B287" s="55"/>
      <c r="C287" s="56"/>
      <c r="D287" s="56"/>
      <c r="E287" s="56"/>
      <c r="F287" s="56"/>
      <c r="G287" s="56"/>
      <c r="H287" s="68" t="s">
        <v>22</v>
      </c>
      <c r="I287" s="68">
        <v>1.0</v>
      </c>
      <c r="J287" s="90" t="s">
        <v>294</v>
      </c>
      <c r="K287" s="80">
        <v>1.0</v>
      </c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>
      <c r="A288" s="34"/>
      <c r="B288" s="61" t="s">
        <v>199</v>
      </c>
      <c r="C288" s="62">
        <v>46123.0</v>
      </c>
      <c r="D288" s="63">
        <v>0.6402777777777777</v>
      </c>
      <c r="E288" s="64" t="s">
        <v>204</v>
      </c>
      <c r="F288" s="64" t="s">
        <v>104</v>
      </c>
      <c r="G288" s="64" t="s">
        <v>105</v>
      </c>
      <c r="H288" s="65" t="s">
        <v>133</v>
      </c>
      <c r="I288" s="65">
        <v>1.0</v>
      </c>
      <c r="J288" s="77" t="s">
        <v>287</v>
      </c>
      <c r="K288" s="67">
        <v>1.0</v>
      </c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>
      <c r="A289" s="34"/>
      <c r="B289" s="49"/>
      <c r="H289" s="68" t="s">
        <v>292</v>
      </c>
      <c r="I289" s="68">
        <v>1.0</v>
      </c>
      <c r="J289" s="90" t="s">
        <v>293</v>
      </c>
      <c r="K289" s="80">
        <v>1.0</v>
      </c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 ht="15.0" customHeight="1">
      <c r="A290" s="34"/>
      <c r="B290" s="49"/>
      <c r="H290" s="53" t="s">
        <v>284</v>
      </c>
      <c r="I290" s="53">
        <v>1.0</v>
      </c>
      <c r="J290" s="54" t="s">
        <v>285</v>
      </c>
      <c r="K290" s="52">
        <v>1.0</v>
      </c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 ht="15.0" customHeight="1">
      <c r="A291" s="34"/>
      <c r="B291" s="49"/>
      <c r="H291" s="76" t="s">
        <v>21</v>
      </c>
      <c r="I291" s="53">
        <v>1.0</v>
      </c>
      <c r="J291" s="54" t="s">
        <v>291</v>
      </c>
      <c r="K291" s="52">
        <v>1.0</v>
      </c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 ht="15.0" customHeight="1">
      <c r="A292" s="34"/>
      <c r="B292" s="49"/>
      <c r="H292" s="68" t="s">
        <v>313</v>
      </c>
      <c r="I292" s="68">
        <v>1.0</v>
      </c>
      <c r="J292" s="90" t="s">
        <v>314</v>
      </c>
      <c r="K292" s="80">
        <v>1.0</v>
      </c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 ht="15.0" customHeight="1">
      <c r="A293" s="34"/>
      <c r="B293" s="49"/>
      <c r="H293" s="76" t="s">
        <v>190</v>
      </c>
      <c r="I293" s="53">
        <v>1.0</v>
      </c>
      <c r="J293" s="51" t="s">
        <v>286</v>
      </c>
      <c r="K293" s="52">
        <v>1.0</v>
      </c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 ht="15.0" customHeight="1">
      <c r="A294" s="34"/>
      <c r="B294" s="49"/>
      <c r="H294" s="68" t="s">
        <v>8</v>
      </c>
      <c r="I294" s="68">
        <v>1.0</v>
      </c>
      <c r="J294" s="90" t="s">
        <v>295</v>
      </c>
      <c r="K294" s="80">
        <v>1.0</v>
      </c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 ht="15.0" customHeight="1">
      <c r="A295" s="34"/>
      <c r="B295" s="55"/>
      <c r="C295" s="56"/>
      <c r="D295" s="56"/>
      <c r="E295" s="56"/>
      <c r="F295" s="56"/>
      <c r="G295" s="56"/>
      <c r="H295" s="68" t="s">
        <v>22</v>
      </c>
      <c r="I295" s="68">
        <v>1.0</v>
      </c>
      <c r="J295" s="90" t="s">
        <v>294</v>
      </c>
      <c r="K295" s="80">
        <v>1.0</v>
      </c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>
      <c r="A296" s="34"/>
      <c r="B296" s="61" t="s">
        <v>200</v>
      </c>
      <c r="C296" s="62">
        <v>46123.0</v>
      </c>
      <c r="D296" s="63">
        <v>0.6448726851851851</v>
      </c>
      <c r="E296" s="64" t="s">
        <v>204</v>
      </c>
      <c r="F296" s="64" t="s">
        <v>104</v>
      </c>
      <c r="G296" s="64" t="s">
        <v>105</v>
      </c>
      <c r="H296" s="65" t="s">
        <v>133</v>
      </c>
      <c r="I296" s="65">
        <v>1.0</v>
      </c>
      <c r="J296" s="66" t="s">
        <v>287</v>
      </c>
      <c r="K296" s="67">
        <v>1.0</v>
      </c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>
      <c r="A297" s="34"/>
      <c r="B297" s="49"/>
      <c r="H297" s="53" t="s">
        <v>284</v>
      </c>
      <c r="I297" s="53">
        <v>1.0</v>
      </c>
      <c r="J297" s="54" t="s">
        <v>285</v>
      </c>
      <c r="K297" s="52">
        <v>1.0</v>
      </c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>
      <c r="A298" s="34"/>
      <c r="B298" s="49"/>
      <c r="H298" s="32" t="s">
        <v>315</v>
      </c>
      <c r="I298" s="32">
        <v>2.0</v>
      </c>
      <c r="J298" s="47" t="s">
        <v>316</v>
      </c>
      <c r="K298" s="48">
        <v>1.0</v>
      </c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>
      <c r="A299" s="34"/>
      <c r="B299" s="49"/>
      <c r="H299" s="50"/>
      <c r="I299" s="50"/>
      <c r="J299" s="88" t="s">
        <v>317</v>
      </c>
      <c r="K299" s="89">
        <v>1.0</v>
      </c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>
      <c r="A300" s="34"/>
      <c r="B300" s="55"/>
      <c r="C300" s="56"/>
      <c r="D300" s="56"/>
      <c r="E300" s="56"/>
      <c r="F300" s="56"/>
      <c r="G300" s="56"/>
      <c r="H300" s="68" t="s">
        <v>289</v>
      </c>
      <c r="I300" s="68">
        <v>1.0</v>
      </c>
      <c r="J300" s="90" t="s">
        <v>290</v>
      </c>
      <c r="K300" s="80">
        <v>1.0</v>
      </c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>
      <c r="A301" s="34"/>
      <c r="B301" s="61" t="s">
        <v>203</v>
      </c>
      <c r="C301" s="62">
        <v>46123.0</v>
      </c>
      <c r="D301" s="63">
        <v>0.6473958333333333</v>
      </c>
      <c r="E301" s="64" t="s">
        <v>204</v>
      </c>
      <c r="F301" s="64" t="s">
        <v>104</v>
      </c>
      <c r="G301" s="64" t="s">
        <v>105</v>
      </c>
      <c r="H301" s="65" t="s">
        <v>11</v>
      </c>
      <c r="I301" s="65">
        <v>1.0</v>
      </c>
      <c r="J301" s="66" t="s">
        <v>288</v>
      </c>
      <c r="K301" s="67">
        <v>1.0</v>
      </c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>
      <c r="A302" s="34"/>
      <c r="B302" s="49"/>
      <c r="H302" s="68" t="s">
        <v>292</v>
      </c>
      <c r="I302" s="68">
        <v>1.0</v>
      </c>
      <c r="J302" s="90" t="s">
        <v>293</v>
      </c>
      <c r="K302" s="80">
        <v>1.0</v>
      </c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>
      <c r="A303" s="34"/>
      <c r="B303" s="81"/>
      <c r="C303" s="82"/>
      <c r="D303" s="82"/>
      <c r="E303" s="82"/>
      <c r="F303" s="82"/>
      <c r="G303" s="82"/>
      <c r="H303" s="83" t="s">
        <v>21</v>
      </c>
      <c r="I303" s="83">
        <v>1.0</v>
      </c>
      <c r="J303" s="84" t="s">
        <v>291</v>
      </c>
      <c r="K303" s="85">
        <v>1.0</v>
      </c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>
      <c r="A304" s="34"/>
      <c r="B304" s="34"/>
      <c r="C304" s="34"/>
      <c r="D304" s="34"/>
      <c r="E304" s="34"/>
      <c r="F304" s="34"/>
      <c r="G304" s="34"/>
      <c r="H304" s="34"/>
      <c r="I304" s="34"/>
      <c r="J304" s="93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>
      <c r="A305" s="34"/>
      <c r="B305" s="34"/>
      <c r="C305" s="34"/>
      <c r="D305" s="34"/>
      <c r="E305" s="34"/>
      <c r="F305" s="34"/>
      <c r="G305" s="34"/>
      <c r="H305" s="34"/>
      <c r="I305" s="34"/>
      <c r="J305" s="93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>
      <c r="A306" s="34"/>
      <c r="B306" s="34"/>
      <c r="C306" s="34"/>
      <c r="D306" s="34"/>
      <c r="E306" s="34"/>
      <c r="F306" s="34"/>
      <c r="G306" s="34"/>
      <c r="H306" s="34"/>
      <c r="I306" s="34"/>
      <c r="J306" s="93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>
      <c r="A307" s="34"/>
      <c r="B307" s="34"/>
      <c r="C307" s="34"/>
      <c r="D307" s="34"/>
      <c r="E307" s="34"/>
      <c r="F307" s="34"/>
      <c r="G307" s="34"/>
      <c r="H307" s="34"/>
      <c r="I307" s="34"/>
      <c r="J307" s="93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>
      <c r="A308" s="34"/>
      <c r="B308" s="34"/>
      <c r="C308" s="34"/>
      <c r="D308" s="34"/>
      <c r="E308" s="34"/>
      <c r="F308" s="34"/>
      <c r="G308" s="34"/>
      <c r="H308" s="34"/>
      <c r="I308" s="34"/>
      <c r="J308" s="93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>
      <c r="A309" s="34"/>
      <c r="B309" s="34"/>
      <c r="C309" s="34"/>
      <c r="D309" s="34"/>
      <c r="E309" s="34"/>
      <c r="F309" s="34"/>
      <c r="G309" s="34"/>
      <c r="H309" s="34"/>
      <c r="I309" s="34"/>
      <c r="J309" s="93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>
      <c r="A310" s="34"/>
      <c r="B310" s="34"/>
      <c r="C310" s="34"/>
      <c r="D310" s="34"/>
      <c r="E310" s="34"/>
      <c r="F310" s="34"/>
      <c r="G310" s="34"/>
      <c r="H310" s="34"/>
      <c r="I310" s="34"/>
      <c r="J310" s="93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>
      <c r="A311" s="34"/>
      <c r="B311" s="34"/>
      <c r="C311" s="34"/>
      <c r="D311" s="34"/>
      <c r="E311" s="34"/>
      <c r="F311" s="34"/>
      <c r="G311" s="34"/>
      <c r="H311" s="34"/>
      <c r="I311" s="34"/>
      <c r="J311" s="93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>
      <c r="A312" s="34"/>
      <c r="B312" s="34"/>
      <c r="C312" s="34"/>
      <c r="D312" s="34"/>
      <c r="E312" s="34"/>
      <c r="F312" s="34"/>
      <c r="G312" s="34"/>
      <c r="H312" s="34"/>
      <c r="I312" s="34"/>
      <c r="J312" s="93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>
      <c r="A313" s="34"/>
      <c r="B313" s="34"/>
      <c r="C313" s="34"/>
      <c r="D313" s="34"/>
      <c r="E313" s="34"/>
      <c r="F313" s="34"/>
      <c r="G313" s="34"/>
      <c r="H313" s="34"/>
      <c r="I313" s="34"/>
      <c r="J313" s="93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>
      <c r="A314" s="34"/>
      <c r="B314" s="34"/>
      <c r="C314" s="34"/>
      <c r="D314" s="34"/>
      <c r="E314" s="34"/>
      <c r="F314" s="34"/>
      <c r="G314" s="34"/>
      <c r="H314" s="34"/>
      <c r="I314" s="34"/>
      <c r="J314" s="93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>
      <c r="A315" s="34"/>
      <c r="B315" s="34"/>
      <c r="C315" s="34"/>
      <c r="D315" s="34"/>
      <c r="E315" s="34"/>
      <c r="F315" s="34"/>
      <c r="G315" s="34"/>
      <c r="H315" s="34"/>
      <c r="I315" s="34"/>
      <c r="J315" s="93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>
      <c r="A316" s="34"/>
      <c r="B316" s="34"/>
      <c r="C316" s="34"/>
      <c r="D316" s="34"/>
      <c r="E316" s="34"/>
      <c r="F316" s="34"/>
      <c r="G316" s="34"/>
      <c r="H316" s="34"/>
      <c r="I316" s="34"/>
      <c r="J316" s="93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>
      <c r="A317" s="34"/>
      <c r="B317" s="34"/>
      <c r="C317" s="34"/>
      <c r="D317" s="34"/>
      <c r="E317" s="34"/>
      <c r="F317" s="34"/>
      <c r="G317" s="34"/>
      <c r="H317" s="34"/>
      <c r="I317" s="34"/>
      <c r="J317" s="93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>
      <c r="A318" s="34"/>
      <c r="B318" s="34"/>
      <c r="C318" s="34"/>
      <c r="D318" s="34"/>
      <c r="E318" s="34"/>
      <c r="F318" s="34"/>
      <c r="G318" s="34"/>
      <c r="H318" s="34"/>
      <c r="I318" s="34"/>
      <c r="J318" s="93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>
      <c r="A319" s="34"/>
      <c r="B319" s="34"/>
      <c r="C319" s="34"/>
      <c r="D319" s="34"/>
      <c r="E319" s="34"/>
      <c r="F319" s="34"/>
      <c r="G319" s="34"/>
      <c r="H319" s="34"/>
      <c r="I319" s="34"/>
      <c r="J319" s="93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>
      <c r="A320" s="34"/>
      <c r="B320" s="34"/>
      <c r="C320" s="34"/>
      <c r="D320" s="34"/>
      <c r="E320" s="34"/>
      <c r="F320" s="34"/>
      <c r="G320" s="34"/>
      <c r="H320" s="34"/>
      <c r="I320" s="34"/>
      <c r="J320" s="93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>
      <c r="A321" s="34"/>
      <c r="B321" s="34"/>
      <c r="C321" s="34"/>
      <c r="D321" s="34"/>
      <c r="E321" s="34"/>
      <c r="F321" s="34"/>
      <c r="G321" s="34"/>
      <c r="H321" s="34"/>
      <c r="I321" s="34"/>
      <c r="J321" s="93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>
      <c r="A322" s="34"/>
      <c r="B322" s="34"/>
      <c r="C322" s="34"/>
      <c r="D322" s="34"/>
      <c r="E322" s="34"/>
      <c r="F322" s="34"/>
      <c r="G322" s="34"/>
      <c r="H322" s="34"/>
      <c r="I322" s="34"/>
      <c r="J322" s="93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>
      <c r="A323" s="34"/>
      <c r="B323" s="34"/>
      <c r="C323" s="34"/>
      <c r="D323" s="34"/>
      <c r="E323" s="34"/>
      <c r="F323" s="34"/>
      <c r="G323" s="34"/>
      <c r="H323" s="34"/>
      <c r="I323" s="34"/>
      <c r="J323" s="93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>
      <c r="A324" s="34"/>
      <c r="B324" s="34"/>
      <c r="C324" s="34"/>
      <c r="D324" s="34"/>
      <c r="E324" s="34"/>
      <c r="F324" s="34"/>
      <c r="G324" s="34"/>
      <c r="H324" s="34"/>
      <c r="I324" s="34"/>
      <c r="J324" s="93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>
      <c r="A325" s="34"/>
      <c r="B325" s="34"/>
      <c r="C325" s="34"/>
      <c r="D325" s="34"/>
      <c r="E325" s="34"/>
      <c r="F325" s="34"/>
      <c r="G325" s="34"/>
      <c r="H325" s="34"/>
      <c r="I325" s="34"/>
      <c r="J325" s="93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>
      <c r="A326" s="34"/>
      <c r="B326" s="34"/>
      <c r="C326" s="34"/>
      <c r="D326" s="34"/>
      <c r="E326" s="34"/>
      <c r="F326" s="34"/>
      <c r="G326" s="34"/>
      <c r="H326" s="34"/>
      <c r="I326" s="34"/>
      <c r="J326" s="93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>
      <c r="A327" s="34"/>
      <c r="B327" s="34"/>
      <c r="C327" s="34"/>
      <c r="D327" s="34"/>
      <c r="E327" s="34"/>
      <c r="F327" s="34"/>
      <c r="G327" s="34"/>
      <c r="H327" s="34"/>
      <c r="I327" s="34"/>
      <c r="J327" s="93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>
      <c r="A328" s="34"/>
      <c r="B328" s="34"/>
      <c r="C328" s="34"/>
      <c r="D328" s="34"/>
      <c r="E328" s="34"/>
      <c r="F328" s="34"/>
      <c r="G328" s="34"/>
      <c r="H328" s="34"/>
      <c r="I328" s="34"/>
      <c r="J328" s="93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>
      <c r="A329" s="34"/>
      <c r="B329" s="34"/>
      <c r="C329" s="34"/>
      <c r="D329" s="34"/>
      <c r="E329" s="34"/>
      <c r="F329" s="34"/>
      <c r="G329" s="34"/>
      <c r="H329" s="34"/>
      <c r="I329" s="34"/>
      <c r="J329" s="93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>
      <c r="A330" s="34"/>
      <c r="B330" s="34"/>
      <c r="C330" s="34"/>
      <c r="D330" s="34"/>
      <c r="E330" s="34"/>
      <c r="F330" s="34"/>
      <c r="G330" s="34"/>
      <c r="H330" s="34"/>
      <c r="I330" s="34"/>
      <c r="J330" s="93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>
      <c r="A331" s="34"/>
      <c r="B331" s="34"/>
      <c r="C331" s="34"/>
      <c r="D331" s="34"/>
      <c r="E331" s="34"/>
      <c r="F331" s="34"/>
      <c r="G331" s="34"/>
      <c r="H331" s="34"/>
      <c r="I331" s="34"/>
      <c r="J331" s="93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>
      <c r="A332" s="34"/>
      <c r="B332" s="34"/>
      <c r="C332" s="34"/>
      <c r="D332" s="34"/>
      <c r="E332" s="34"/>
      <c r="F332" s="34"/>
      <c r="G332" s="34"/>
      <c r="H332" s="34"/>
      <c r="I332" s="34"/>
      <c r="J332" s="93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>
      <c r="A333" s="34"/>
      <c r="B333" s="34"/>
      <c r="C333" s="34"/>
      <c r="D333" s="34"/>
      <c r="E333" s="34"/>
      <c r="F333" s="34"/>
      <c r="G333" s="34"/>
      <c r="H333" s="34"/>
      <c r="I333" s="34"/>
      <c r="J333" s="93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>
      <c r="A334" s="34"/>
      <c r="B334" s="34"/>
      <c r="C334" s="34"/>
      <c r="D334" s="34"/>
      <c r="E334" s="34"/>
      <c r="F334" s="34"/>
      <c r="G334" s="34"/>
      <c r="H334" s="34"/>
      <c r="I334" s="34"/>
      <c r="J334" s="93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>
      <c r="A335" s="34"/>
      <c r="B335" s="34"/>
      <c r="C335" s="34"/>
      <c r="D335" s="34"/>
      <c r="E335" s="34"/>
      <c r="F335" s="34"/>
      <c r="G335" s="34"/>
      <c r="H335" s="34"/>
      <c r="I335" s="34"/>
      <c r="J335" s="93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>
      <c r="A336" s="34"/>
      <c r="B336" s="34"/>
      <c r="C336" s="34"/>
      <c r="D336" s="34"/>
      <c r="E336" s="34"/>
      <c r="F336" s="34"/>
      <c r="G336" s="34"/>
      <c r="H336" s="34"/>
      <c r="I336" s="34"/>
      <c r="J336" s="93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>
      <c r="A337" s="34"/>
      <c r="B337" s="34"/>
      <c r="C337" s="34"/>
      <c r="D337" s="34"/>
      <c r="E337" s="34"/>
      <c r="F337" s="34"/>
      <c r="G337" s="34"/>
      <c r="H337" s="34"/>
      <c r="I337" s="34"/>
      <c r="J337" s="93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>
      <c r="A338" s="34"/>
      <c r="B338" s="34"/>
      <c r="C338" s="34"/>
      <c r="D338" s="34"/>
      <c r="E338" s="34"/>
      <c r="F338" s="34"/>
      <c r="G338" s="34"/>
      <c r="H338" s="34"/>
      <c r="I338" s="34"/>
      <c r="J338" s="93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>
      <c r="A339" s="34"/>
      <c r="B339" s="34"/>
      <c r="C339" s="34"/>
      <c r="D339" s="34"/>
      <c r="E339" s="34"/>
      <c r="F339" s="34"/>
      <c r="G339" s="34"/>
      <c r="H339" s="34"/>
      <c r="I339" s="34"/>
      <c r="J339" s="93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>
      <c r="A340" s="34"/>
      <c r="B340" s="34"/>
      <c r="C340" s="34"/>
      <c r="D340" s="34"/>
      <c r="E340" s="34"/>
      <c r="F340" s="34"/>
      <c r="G340" s="34"/>
      <c r="H340" s="34"/>
      <c r="I340" s="34"/>
      <c r="J340" s="93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>
      <c r="A341" s="34"/>
      <c r="B341" s="34"/>
      <c r="C341" s="34"/>
      <c r="D341" s="34"/>
      <c r="E341" s="34"/>
      <c r="F341" s="34"/>
      <c r="G341" s="34"/>
      <c r="H341" s="34"/>
      <c r="I341" s="34"/>
      <c r="J341" s="93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>
      <c r="A342" s="34"/>
      <c r="B342" s="34"/>
      <c r="C342" s="34"/>
      <c r="D342" s="34"/>
      <c r="E342" s="34"/>
      <c r="F342" s="34"/>
      <c r="G342" s="34"/>
      <c r="H342" s="34"/>
      <c r="I342" s="34"/>
      <c r="J342" s="93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>
      <c r="A343" s="34"/>
      <c r="B343" s="34"/>
      <c r="C343" s="34"/>
      <c r="D343" s="34"/>
      <c r="E343" s="34"/>
      <c r="F343" s="34"/>
      <c r="G343" s="34"/>
      <c r="H343" s="34"/>
      <c r="I343" s="34"/>
      <c r="J343" s="93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>
      <c r="A344" s="34"/>
      <c r="B344" s="34"/>
      <c r="C344" s="34"/>
      <c r="D344" s="34"/>
      <c r="E344" s="34"/>
      <c r="F344" s="34"/>
      <c r="G344" s="34"/>
      <c r="H344" s="34"/>
      <c r="I344" s="34"/>
      <c r="J344" s="93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>
      <c r="A345" s="34"/>
      <c r="B345" s="34"/>
      <c r="C345" s="34"/>
      <c r="D345" s="34"/>
      <c r="E345" s="34"/>
      <c r="F345" s="34"/>
      <c r="G345" s="34"/>
      <c r="H345" s="34"/>
      <c r="I345" s="34"/>
      <c r="J345" s="93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>
      <c r="A346" s="34"/>
      <c r="B346" s="34"/>
      <c r="C346" s="34"/>
      <c r="D346" s="34"/>
      <c r="E346" s="34"/>
      <c r="F346" s="34"/>
      <c r="G346" s="34"/>
      <c r="H346" s="34"/>
      <c r="I346" s="34"/>
      <c r="J346" s="93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>
      <c r="A347" s="34"/>
      <c r="B347" s="34"/>
      <c r="C347" s="34"/>
      <c r="D347" s="34"/>
      <c r="E347" s="34"/>
      <c r="F347" s="34"/>
      <c r="G347" s="34"/>
      <c r="H347" s="34"/>
      <c r="I347" s="34"/>
      <c r="J347" s="93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>
      <c r="A348" s="34"/>
      <c r="B348" s="34"/>
      <c r="C348" s="34"/>
      <c r="D348" s="34"/>
      <c r="E348" s="34"/>
      <c r="F348" s="34"/>
      <c r="G348" s="34"/>
      <c r="H348" s="34"/>
      <c r="I348" s="34"/>
      <c r="J348" s="93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>
      <c r="A349" s="34"/>
      <c r="B349" s="34"/>
      <c r="C349" s="34"/>
      <c r="D349" s="34"/>
      <c r="E349" s="34"/>
      <c r="F349" s="34"/>
      <c r="G349" s="34"/>
      <c r="H349" s="34"/>
      <c r="I349" s="34"/>
      <c r="J349" s="93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>
      <c r="A350" s="34"/>
      <c r="B350" s="34"/>
      <c r="C350" s="34"/>
      <c r="D350" s="34"/>
      <c r="E350" s="34"/>
      <c r="F350" s="34"/>
      <c r="G350" s="34"/>
      <c r="H350" s="34"/>
      <c r="I350" s="34"/>
      <c r="J350" s="93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>
      <c r="A351" s="34"/>
      <c r="B351" s="34"/>
      <c r="C351" s="34"/>
      <c r="D351" s="34"/>
      <c r="E351" s="34"/>
      <c r="F351" s="34"/>
      <c r="G351" s="34"/>
      <c r="H351" s="34"/>
      <c r="I351" s="34"/>
      <c r="J351" s="93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>
      <c r="A352" s="34"/>
      <c r="B352" s="34"/>
      <c r="C352" s="34"/>
      <c r="D352" s="34"/>
      <c r="E352" s="34"/>
      <c r="F352" s="34"/>
      <c r="G352" s="34"/>
      <c r="H352" s="34"/>
      <c r="I352" s="34"/>
      <c r="J352" s="93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>
      <c r="A353" s="34"/>
      <c r="B353" s="34"/>
      <c r="C353" s="34"/>
      <c r="D353" s="34"/>
      <c r="E353" s="34"/>
      <c r="F353" s="34"/>
      <c r="G353" s="34"/>
      <c r="H353" s="34"/>
      <c r="I353" s="34"/>
      <c r="J353" s="93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>
      <c r="A354" s="34"/>
      <c r="B354" s="34"/>
      <c r="C354" s="34"/>
      <c r="D354" s="34"/>
      <c r="E354" s="34"/>
      <c r="F354" s="34"/>
      <c r="G354" s="34"/>
      <c r="H354" s="34"/>
      <c r="I354" s="34"/>
      <c r="J354" s="93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>
      <c r="A355" s="34"/>
      <c r="B355" s="34"/>
      <c r="C355" s="34"/>
      <c r="D355" s="34"/>
      <c r="E355" s="34"/>
      <c r="F355" s="34"/>
      <c r="G355" s="34"/>
      <c r="H355" s="34"/>
      <c r="I355" s="34"/>
      <c r="J355" s="93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>
      <c r="A356" s="34"/>
      <c r="B356" s="34"/>
      <c r="C356" s="34"/>
      <c r="D356" s="34"/>
      <c r="E356" s="34"/>
      <c r="F356" s="34"/>
      <c r="G356" s="34"/>
      <c r="H356" s="34"/>
      <c r="I356" s="34"/>
      <c r="J356" s="93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>
      <c r="A357" s="34"/>
      <c r="B357" s="34"/>
      <c r="C357" s="34"/>
      <c r="D357" s="34"/>
      <c r="E357" s="34"/>
      <c r="F357" s="34"/>
      <c r="G357" s="34"/>
      <c r="H357" s="34"/>
      <c r="I357" s="34"/>
      <c r="J357" s="93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>
      <c r="A358" s="34"/>
      <c r="B358" s="34"/>
      <c r="C358" s="34"/>
      <c r="D358" s="34"/>
      <c r="E358" s="34"/>
      <c r="F358" s="34"/>
      <c r="G358" s="34"/>
      <c r="H358" s="34"/>
      <c r="I358" s="34"/>
      <c r="J358" s="93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>
      <c r="A359" s="34"/>
      <c r="B359" s="34"/>
      <c r="C359" s="34"/>
      <c r="D359" s="34"/>
      <c r="E359" s="34"/>
      <c r="F359" s="34"/>
      <c r="G359" s="34"/>
      <c r="H359" s="34"/>
      <c r="I359" s="34"/>
      <c r="J359" s="93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>
      <c r="A360" s="34"/>
      <c r="B360" s="34"/>
      <c r="C360" s="34"/>
      <c r="D360" s="34"/>
      <c r="E360" s="34"/>
      <c r="F360" s="34"/>
      <c r="G360" s="34"/>
      <c r="H360" s="34"/>
      <c r="I360" s="34"/>
      <c r="J360" s="93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>
      <c r="A361" s="34"/>
      <c r="B361" s="34"/>
      <c r="C361" s="34"/>
      <c r="D361" s="34"/>
      <c r="E361" s="34"/>
      <c r="F361" s="34"/>
      <c r="G361" s="34"/>
      <c r="H361" s="34"/>
      <c r="I361" s="34"/>
      <c r="J361" s="93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>
      <c r="A362" s="34"/>
      <c r="B362" s="34"/>
      <c r="C362" s="34"/>
      <c r="D362" s="34"/>
      <c r="E362" s="34"/>
      <c r="F362" s="34"/>
      <c r="G362" s="34"/>
      <c r="H362" s="34"/>
      <c r="I362" s="34"/>
      <c r="J362" s="93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>
      <c r="A363" s="34"/>
      <c r="B363" s="34"/>
      <c r="C363" s="34"/>
      <c r="D363" s="34"/>
      <c r="E363" s="34"/>
      <c r="F363" s="34"/>
      <c r="G363" s="34"/>
      <c r="H363" s="34"/>
      <c r="I363" s="34"/>
      <c r="J363" s="93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>
      <c r="A364" s="34"/>
      <c r="B364" s="34"/>
      <c r="C364" s="34"/>
      <c r="D364" s="34"/>
      <c r="E364" s="34"/>
      <c r="F364" s="34"/>
      <c r="G364" s="34"/>
      <c r="H364" s="34"/>
      <c r="I364" s="34"/>
      <c r="J364" s="93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>
      <c r="A365" s="34"/>
      <c r="B365" s="34"/>
      <c r="C365" s="34"/>
      <c r="D365" s="34"/>
      <c r="E365" s="34"/>
      <c r="F365" s="34"/>
      <c r="G365" s="34"/>
      <c r="H365" s="34"/>
      <c r="I365" s="34"/>
      <c r="J365" s="93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>
      <c r="A366" s="34"/>
      <c r="B366" s="34"/>
      <c r="C366" s="34"/>
      <c r="D366" s="34"/>
      <c r="E366" s="34"/>
      <c r="F366" s="34"/>
      <c r="G366" s="34"/>
      <c r="H366" s="34"/>
      <c r="I366" s="34"/>
      <c r="J366" s="93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>
      <c r="A367" s="34"/>
      <c r="B367" s="34"/>
      <c r="C367" s="34"/>
      <c r="D367" s="34"/>
      <c r="E367" s="34"/>
      <c r="F367" s="34"/>
      <c r="G367" s="34"/>
      <c r="H367" s="34"/>
      <c r="I367" s="34"/>
      <c r="J367" s="93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>
      <c r="A368" s="34"/>
      <c r="B368" s="34"/>
      <c r="C368" s="34"/>
      <c r="D368" s="34"/>
      <c r="E368" s="34"/>
      <c r="F368" s="34"/>
      <c r="G368" s="34"/>
      <c r="H368" s="34"/>
      <c r="I368" s="34"/>
      <c r="J368" s="93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>
      <c r="A369" s="34"/>
      <c r="B369" s="34"/>
      <c r="C369" s="34"/>
      <c r="D369" s="34"/>
      <c r="E369" s="34"/>
      <c r="F369" s="34"/>
      <c r="G369" s="34"/>
      <c r="H369" s="34"/>
      <c r="I369" s="34"/>
      <c r="J369" s="93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>
      <c r="A370" s="34"/>
      <c r="B370" s="34"/>
      <c r="C370" s="34"/>
      <c r="D370" s="34"/>
      <c r="E370" s="34"/>
      <c r="F370" s="34"/>
      <c r="G370" s="34"/>
      <c r="H370" s="34"/>
      <c r="I370" s="34"/>
      <c r="J370" s="93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>
      <c r="A371" s="34"/>
      <c r="B371" s="34"/>
      <c r="C371" s="34"/>
      <c r="D371" s="34"/>
      <c r="E371" s="34"/>
      <c r="F371" s="34"/>
      <c r="G371" s="34"/>
      <c r="H371" s="34"/>
      <c r="I371" s="34"/>
      <c r="J371" s="93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>
      <c r="A372" s="34"/>
      <c r="B372" s="34"/>
      <c r="C372" s="34"/>
      <c r="D372" s="34"/>
      <c r="E372" s="34"/>
      <c r="F372" s="34"/>
      <c r="G372" s="34"/>
      <c r="H372" s="34"/>
      <c r="I372" s="34"/>
      <c r="J372" s="93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>
      <c r="A373" s="34"/>
      <c r="B373" s="34"/>
      <c r="C373" s="34"/>
      <c r="D373" s="34"/>
      <c r="E373" s="34"/>
      <c r="F373" s="34"/>
      <c r="G373" s="34"/>
      <c r="H373" s="34"/>
      <c r="I373" s="34"/>
      <c r="J373" s="93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>
      <c r="A374" s="34"/>
      <c r="B374" s="34"/>
      <c r="C374" s="34"/>
      <c r="D374" s="34"/>
      <c r="E374" s="34"/>
      <c r="F374" s="34"/>
      <c r="G374" s="34"/>
      <c r="H374" s="34"/>
      <c r="I374" s="34"/>
      <c r="J374" s="93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>
      <c r="A375" s="34"/>
      <c r="B375" s="34"/>
      <c r="C375" s="34"/>
      <c r="D375" s="34"/>
      <c r="E375" s="34"/>
      <c r="F375" s="34"/>
      <c r="G375" s="34"/>
      <c r="H375" s="34"/>
      <c r="I375" s="34"/>
      <c r="J375" s="93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>
      <c r="A376" s="34"/>
      <c r="B376" s="34"/>
      <c r="C376" s="34"/>
      <c r="D376" s="34"/>
      <c r="E376" s="34"/>
      <c r="F376" s="34"/>
      <c r="G376" s="34"/>
      <c r="H376" s="34"/>
      <c r="I376" s="34"/>
      <c r="J376" s="93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>
      <c r="A377" s="34"/>
      <c r="B377" s="34"/>
      <c r="C377" s="34"/>
      <c r="D377" s="34"/>
      <c r="E377" s="34"/>
      <c r="F377" s="34"/>
      <c r="G377" s="34"/>
      <c r="H377" s="34"/>
      <c r="I377" s="34"/>
      <c r="J377" s="93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>
      <c r="A378" s="34"/>
      <c r="B378" s="34"/>
      <c r="C378" s="34"/>
      <c r="D378" s="34"/>
      <c r="E378" s="34"/>
      <c r="F378" s="34"/>
      <c r="G378" s="34"/>
      <c r="H378" s="34"/>
      <c r="I378" s="34"/>
      <c r="J378" s="93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>
      <c r="A379" s="34"/>
      <c r="B379" s="34"/>
      <c r="C379" s="34"/>
      <c r="D379" s="34"/>
      <c r="E379" s="34"/>
      <c r="F379" s="34"/>
      <c r="G379" s="34"/>
      <c r="H379" s="34"/>
      <c r="I379" s="34"/>
      <c r="J379" s="93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>
      <c r="A380" s="34"/>
      <c r="B380" s="34"/>
      <c r="C380" s="34"/>
      <c r="D380" s="34"/>
      <c r="E380" s="34"/>
      <c r="F380" s="34"/>
      <c r="G380" s="34"/>
      <c r="H380" s="34"/>
      <c r="I380" s="34"/>
      <c r="J380" s="93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>
      <c r="A381" s="34"/>
      <c r="B381" s="34"/>
      <c r="C381" s="34"/>
      <c r="D381" s="34"/>
      <c r="E381" s="34"/>
      <c r="F381" s="34"/>
      <c r="G381" s="34"/>
      <c r="H381" s="34"/>
      <c r="I381" s="34"/>
      <c r="J381" s="93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>
      <c r="A382" s="34"/>
      <c r="B382" s="34"/>
      <c r="C382" s="34"/>
      <c r="D382" s="34"/>
      <c r="E382" s="34"/>
      <c r="F382" s="34"/>
      <c r="G382" s="34"/>
      <c r="H382" s="34"/>
      <c r="I382" s="34"/>
      <c r="J382" s="93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>
      <c r="A383" s="34"/>
      <c r="B383" s="34"/>
      <c r="C383" s="34"/>
      <c r="D383" s="34"/>
      <c r="E383" s="34"/>
      <c r="F383" s="34"/>
      <c r="G383" s="34"/>
      <c r="H383" s="34"/>
      <c r="I383" s="34"/>
      <c r="J383" s="93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>
      <c r="A384" s="34"/>
      <c r="B384" s="34"/>
      <c r="C384" s="34"/>
      <c r="D384" s="34"/>
      <c r="E384" s="34"/>
      <c r="F384" s="34"/>
      <c r="G384" s="34"/>
      <c r="H384" s="34"/>
      <c r="I384" s="34"/>
      <c r="J384" s="93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>
      <c r="A385" s="34"/>
      <c r="B385" s="34"/>
      <c r="C385" s="34"/>
      <c r="D385" s="34"/>
      <c r="E385" s="34"/>
      <c r="F385" s="34"/>
      <c r="G385" s="34"/>
      <c r="H385" s="34"/>
      <c r="I385" s="34"/>
      <c r="J385" s="93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>
      <c r="A386" s="34"/>
      <c r="B386" s="34"/>
      <c r="C386" s="34"/>
      <c r="D386" s="34"/>
      <c r="E386" s="34"/>
      <c r="F386" s="34"/>
      <c r="G386" s="34"/>
      <c r="H386" s="34"/>
      <c r="I386" s="34"/>
      <c r="J386" s="93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>
      <c r="A387" s="34"/>
      <c r="B387" s="34"/>
      <c r="C387" s="34"/>
      <c r="D387" s="34"/>
      <c r="E387" s="34"/>
      <c r="F387" s="34"/>
      <c r="G387" s="34"/>
      <c r="H387" s="34"/>
      <c r="I387" s="34"/>
      <c r="J387" s="93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>
      <c r="A388" s="34"/>
      <c r="B388" s="34"/>
      <c r="C388" s="34"/>
      <c r="D388" s="34"/>
      <c r="E388" s="34"/>
      <c r="F388" s="34"/>
      <c r="G388" s="34"/>
      <c r="H388" s="34"/>
      <c r="I388" s="34"/>
      <c r="J388" s="93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>
      <c r="A389" s="34"/>
      <c r="B389" s="34"/>
      <c r="C389" s="34"/>
      <c r="D389" s="34"/>
      <c r="E389" s="34"/>
      <c r="F389" s="34"/>
      <c r="G389" s="34"/>
      <c r="H389" s="34"/>
      <c r="I389" s="34"/>
      <c r="J389" s="93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>
      <c r="A390" s="34"/>
      <c r="B390" s="34"/>
      <c r="C390" s="34"/>
      <c r="D390" s="34"/>
      <c r="E390" s="34"/>
      <c r="F390" s="34"/>
      <c r="G390" s="34"/>
      <c r="H390" s="34"/>
      <c r="I390" s="34"/>
      <c r="J390" s="93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>
      <c r="A391" s="34"/>
      <c r="B391" s="34"/>
      <c r="C391" s="34"/>
      <c r="D391" s="34"/>
      <c r="E391" s="34"/>
      <c r="F391" s="34"/>
      <c r="G391" s="34"/>
      <c r="H391" s="34"/>
      <c r="I391" s="34"/>
      <c r="J391" s="93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>
      <c r="A392" s="34"/>
      <c r="B392" s="34"/>
      <c r="C392" s="34"/>
      <c r="D392" s="34"/>
      <c r="E392" s="34"/>
      <c r="F392" s="34"/>
      <c r="G392" s="34"/>
      <c r="H392" s="34"/>
      <c r="I392" s="34"/>
      <c r="J392" s="93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>
      <c r="A393" s="34"/>
      <c r="B393" s="34"/>
      <c r="C393" s="34"/>
      <c r="D393" s="34"/>
      <c r="E393" s="34"/>
      <c r="F393" s="34"/>
      <c r="G393" s="34"/>
      <c r="H393" s="34"/>
      <c r="I393" s="34"/>
      <c r="J393" s="93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>
      <c r="A394" s="34"/>
      <c r="B394" s="34"/>
      <c r="C394" s="34"/>
      <c r="D394" s="34"/>
      <c r="E394" s="34"/>
      <c r="F394" s="34"/>
      <c r="G394" s="34"/>
      <c r="H394" s="34"/>
      <c r="I394" s="34"/>
      <c r="J394" s="93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>
      <c r="A395" s="34"/>
      <c r="B395" s="34"/>
      <c r="C395" s="34"/>
      <c r="D395" s="34"/>
      <c r="E395" s="34"/>
      <c r="F395" s="34"/>
      <c r="G395" s="34"/>
      <c r="H395" s="34"/>
      <c r="I395" s="34"/>
      <c r="J395" s="93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>
      <c r="A396" s="34"/>
      <c r="B396" s="34"/>
      <c r="C396" s="34"/>
      <c r="D396" s="34"/>
      <c r="E396" s="34"/>
      <c r="F396" s="34"/>
      <c r="G396" s="34"/>
      <c r="H396" s="34"/>
      <c r="I396" s="34"/>
      <c r="J396" s="93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>
      <c r="A397" s="34"/>
      <c r="B397" s="34"/>
      <c r="C397" s="34"/>
      <c r="D397" s="34"/>
      <c r="E397" s="34"/>
      <c r="F397" s="34"/>
      <c r="G397" s="34"/>
      <c r="H397" s="34"/>
      <c r="I397" s="34"/>
      <c r="J397" s="93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>
      <c r="A398" s="34"/>
      <c r="B398" s="34"/>
      <c r="C398" s="34"/>
      <c r="D398" s="34"/>
      <c r="E398" s="34"/>
      <c r="F398" s="34"/>
      <c r="G398" s="34"/>
      <c r="H398" s="34"/>
      <c r="I398" s="34"/>
      <c r="J398" s="93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>
      <c r="A399" s="34"/>
      <c r="B399" s="34"/>
      <c r="C399" s="34"/>
      <c r="D399" s="34"/>
      <c r="E399" s="34"/>
      <c r="F399" s="34"/>
      <c r="G399" s="34"/>
      <c r="H399" s="34"/>
      <c r="I399" s="34"/>
      <c r="J399" s="93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>
      <c r="A400" s="34"/>
      <c r="B400" s="34"/>
      <c r="C400" s="34"/>
      <c r="D400" s="34"/>
      <c r="E400" s="34"/>
      <c r="F400" s="34"/>
      <c r="G400" s="34"/>
      <c r="H400" s="34"/>
      <c r="I400" s="34"/>
      <c r="J400" s="93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>
      <c r="A401" s="34"/>
      <c r="B401" s="34"/>
      <c r="C401" s="34"/>
      <c r="D401" s="34"/>
      <c r="E401" s="34"/>
      <c r="F401" s="34"/>
      <c r="G401" s="34"/>
      <c r="H401" s="34"/>
      <c r="I401" s="34"/>
      <c r="J401" s="93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>
      <c r="A402" s="34"/>
      <c r="B402" s="34"/>
      <c r="C402" s="34"/>
      <c r="D402" s="34"/>
      <c r="E402" s="34"/>
      <c r="F402" s="34"/>
      <c r="G402" s="34"/>
      <c r="H402" s="34"/>
      <c r="I402" s="34"/>
      <c r="J402" s="93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>
      <c r="A403" s="34"/>
      <c r="B403" s="34"/>
      <c r="C403" s="34"/>
      <c r="D403" s="34"/>
      <c r="E403" s="34"/>
      <c r="F403" s="34"/>
      <c r="G403" s="34"/>
      <c r="H403" s="34"/>
      <c r="I403" s="34"/>
      <c r="J403" s="93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>
      <c r="A404" s="34"/>
      <c r="B404" s="34"/>
      <c r="C404" s="34"/>
      <c r="D404" s="34"/>
      <c r="E404" s="34"/>
      <c r="F404" s="34"/>
      <c r="G404" s="34"/>
      <c r="H404" s="34"/>
      <c r="I404" s="34"/>
      <c r="J404" s="93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>
      <c r="A405" s="34"/>
      <c r="B405" s="34"/>
      <c r="C405" s="34"/>
      <c r="D405" s="34"/>
      <c r="E405" s="34"/>
      <c r="F405" s="34"/>
      <c r="G405" s="34"/>
      <c r="H405" s="34"/>
      <c r="I405" s="34"/>
      <c r="J405" s="93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>
      <c r="A406" s="34"/>
      <c r="B406" s="34"/>
      <c r="C406" s="34"/>
      <c r="D406" s="34"/>
      <c r="E406" s="34"/>
      <c r="F406" s="34"/>
      <c r="G406" s="34"/>
      <c r="H406" s="34"/>
      <c r="I406" s="34"/>
      <c r="J406" s="93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>
      <c r="A407" s="34"/>
      <c r="B407" s="34"/>
      <c r="C407" s="34"/>
      <c r="D407" s="34"/>
      <c r="E407" s="34"/>
      <c r="F407" s="34"/>
      <c r="G407" s="34"/>
      <c r="H407" s="34"/>
      <c r="I407" s="34"/>
      <c r="J407" s="93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>
      <c r="A408" s="34"/>
      <c r="B408" s="34"/>
      <c r="C408" s="34"/>
      <c r="D408" s="34"/>
      <c r="E408" s="34"/>
      <c r="F408" s="34"/>
      <c r="G408" s="34"/>
      <c r="H408" s="34"/>
      <c r="I408" s="34"/>
      <c r="J408" s="93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>
      <c r="A409" s="34"/>
      <c r="B409" s="34"/>
      <c r="C409" s="34"/>
      <c r="D409" s="34"/>
      <c r="E409" s="34"/>
      <c r="F409" s="34"/>
      <c r="G409" s="34"/>
      <c r="H409" s="34"/>
      <c r="I409" s="34"/>
      <c r="J409" s="93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>
      <c r="A410" s="34"/>
      <c r="B410" s="34"/>
      <c r="C410" s="34"/>
      <c r="D410" s="34"/>
      <c r="E410" s="34"/>
      <c r="F410" s="34"/>
      <c r="G410" s="34"/>
      <c r="H410" s="34"/>
      <c r="I410" s="34"/>
      <c r="J410" s="93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>
      <c r="A411" s="34"/>
      <c r="B411" s="34"/>
      <c r="C411" s="34"/>
      <c r="D411" s="34"/>
      <c r="E411" s="34"/>
      <c r="F411" s="34"/>
      <c r="G411" s="34"/>
      <c r="H411" s="34"/>
      <c r="I411" s="34"/>
      <c r="J411" s="93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>
      <c r="A412" s="34"/>
      <c r="B412" s="34"/>
      <c r="C412" s="34"/>
      <c r="D412" s="34"/>
      <c r="E412" s="34"/>
      <c r="F412" s="34"/>
      <c r="G412" s="34"/>
      <c r="H412" s="34"/>
      <c r="I412" s="34"/>
      <c r="J412" s="93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>
      <c r="A413" s="34"/>
      <c r="B413" s="34"/>
      <c r="C413" s="34"/>
      <c r="D413" s="34"/>
      <c r="E413" s="34"/>
      <c r="F413" s="34"/>
      <c r="G413" s="34"/>
      <c r="H413" s="34"/>
      <c r="I413" s="34"/>
      <c r="J413" s="93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>
      <c r="A414" s="34"/>
      <c r="B414" s="34"/>
      <c r="C414" s="34"/>
      <c r="D414" s="34"/>
      <c r="E414" s="34"/>
      <c r="F414" s="34"/>
      <c r="G414" s="34"/>
      <c r="H414" s="34"/>
      <c r="I414" s="34"/>
      <c r="J414" s="93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>
      <c r="A415" s="34"/>
      <c r="B415" s="34"/>
      <c r="C415" s="34"/>
      <c r="D415" s="34"/>
      <c r="E415" s="34"/>
      <c r="F415" s="34"/>
      <c r="G415" s="34"/>
      <c r="H415" s="34"/>
      <c r="I415" s="34"/>
      <c r="J415" s="93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>
      <c r="A416" s="34"/>
      <c r="B416" s="34"/>
      <c r="C416" s="34"/>
      <c r="D416" s="34"/>
      <c r="E416" s="34"/>
      <c r="F416" s="34"/>
      <c r="G416" s="34"/>
      <c r="H416" s="34"/>
      <c r="I416" s="34"/>
      <c r="J416" s="93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>
      <c r="A417" s="34"/>
      <c r="B417" s="34"/>
      <c r="C417" s="34"/>
      <c r="D417" s="34"/>
      <c r="E417" s="34"/>
      <c r="F417" s="34"/>
      <c r="G417" s="34"/>
      <c r="H417" s="34"/>
      <c r="I417" s="34"/>
      <c r="J417" s="93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>
      <c r="A418" s="34"/>
      <c r="B418" s="34"/>
      <c r="C418" s="34"/>
      <c r="D418" s="34"/>
      <c r="E418" s="34"/>
      <c r="F418" s="34"/>
      <c r="G418" s="34"/>
      <c r="H418" s="34"/>
      <c r="I418" s="34"/>
      <c r="J418" s="93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>
      <c r="A419" s="34"/>
      <c r="B419" s="34"/>
      <c r="C419" s="34"/>
      <c r="D419" s="34"/>
      <c r="E419" s="34"/>
      <c r="F419" s="34"/>
      <c r="G419" s="34"/>
      <c r="H419" s="34"/>
      <c r="I419" s="34"/>
      <c r="J419" s="93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>
      <c r="A420" s="34"/>
      <c r="B420" s="34"/>
      <c r="C420" s="34"/>
      <c r="D420" s="34"/>
      <c r="E420" s="34"/>
      <c r="F420" s="34"/>
      <c r="G420" s="34"/>
      <c r="H420" s="34"/>
      <c r="I420" s="34"/>
      <c r="J420" s="93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>
      <c r="A421" s="34"/>
      <c r="B421" s="34"/>
      <c r="C421" s="34"/>
      <c r="D421" s="34"/>
      <c r="E421" s="34"/>
      <c r="F421" s="34"/>
      <c r="G421" s="34"/>
      <c r="H421" s="34"/>
      <c r="I421" s="34"/>
      <c r="J421" s="93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>
      <c r="A422" s="34"/>
      <c r="B422" s="34"/>
      <c r="C422" s="34"/>
      <c r="D422" s="34"/>
      <c r="E422" s="34"/>
      <c r="F422" s="34"/>
      <c r="G422" s="34"/>
      <c r="H422" s="34"/>
      <c r="I422" s="34"/>
      <c r="J422" s="93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>
      <c r="A423" s="34"/>
      <c r="B423" s="34"/>
      <c r="C423" s="34"/>
      <c r="D423" s="34"/>
      <c r="E423" s="34"/>
      <c r="F423" s="34"/>
      <c r="G423" s="34"/>
      <c r="H423" s="34"/>
      <c r="I423" s="34"/>
      <c r="J423" s="93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>
      <c r="A424" s="34"/>
      <c r="B424" s="34"/>
      <c r="C424" s="34"/>
      <c r="D424" s="34"/>
      <c r="E424" s="34"/>
      <c r="F424" s="34"/>
      <c r="G424" s="34"/>
      <c r="H424" s="34"/>
      <c r="I424" s="34"/>
      <c r="J424" s="93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>
      <c r="A425" s="34"/>
      <c r="B425" s="34"/>
      <c r="C425" s="34"/>
      <c r="D425" s="34"/>
      <c r="E425" s="34"/>
      <c r="F425" s="34"/>
      <c r="G425" s="34"/>
      <c r="H425" s="34"/>
      <c r="I425" s="34"/>
      <c r="J425" s="93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>
      <c r="A426" s="34"/>
      <c r="B426" s="34"/>
      <c r="C426" s="34"/>
      <c r="D426" s="34"/>
      <c r="E426" s="34"/>
      <c r="F426" s="34"/>
      <c r="G426" s="34"/>
      <c r="H426" s="34"/>
      <c r="I426" s="34"/>
      <c r="J426" s="93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>
      <c r="A427" s="34"/>
      <c r="B427" s="34"/>
      <c r="C427" s="34"/>
      <c r="D427" s="34"/>
      <c r="E427" s="34"/>
      <c r="F427" s="34"/>
      <c r="G427" s="34"/>
      <c r="H427" s="34"/>
      <c r="I427" s="34"/>
      <c r="J427" s="93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>
      <c r="A428" s="34"/>
      <c r="B428" s="34"/>
      <c r="C428" s="34"/>
      <c r="D428" s="34"/>
      <c r="E428" s="34"/>
      <c r="F428" s="34"/>
      <c r="G428" s="34"/>
      <c r="H428" s="34"/>
      <c r="I428" s="34"/>
      <c r="J428" s="93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>
      <c r="A429" s="34"/>
      <c r="B429" s="34"/>
      <c r="C429" s="34"/>
      <c r="D429" s="34"/>
      <c r="E429" s="34"/>
      <c r="F429" s="34"/>
      <c r="G429" s="34"/>
      <c r="H429" s="34"/>
      <c r="I429" s="34"/>
      <c r="J429" s="93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>
      <c r="A430" s="34"/>
      <c r="B430" s="34"/>
      <c r="C430" s="34"/>
      <c r="D430" s="34"/>
      <c r="E430" s="34"/>
      <c r="F430" s="34"/>
      <c r="G430" s="34"/>
      <c r="H430" s="34"/>
      <c r="I430" s="34"/>
      <c r="J430" s="93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>
      <c r="A431" s="34"/>
      <c r="B431" s="34"/>
      <c r="C431" s="34"/>
      <c r="D431" s="34"/>
      <c r="E431" s="34"/>
      <c r="F431" s="34"/>
      <c r="G431" s="34"/>
      <c r="H431" s="34"/>
      <c r="I431" s="34"/>
      <c r="J431" s="93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>
      <c r="A432" s="34"/>
      <c r="B432" s="34"/>
      <c r="C432" s="34"/>
      <c r="D432" s="34"/>
      <c r="E432" s="34"/>
      <c r="F432" s="34"/>
      <c r="G432" s="34"/>
      <c r="H432" s="34"/>
      <c r="I432" s="34"/>
      <c r="J432" s="93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>
      <c r="A433" s="34"/>
      <c r="B433" s="34"/>
      <c r="C433" s="34"/>
      <c r="D433" s="34"/>
      <c r="E433" s="34"/>
      <c r="F433" s="34"/>
      <c r="G433" s="34"/>
      <c r="H433" s="34"/>
      <c r="I433" s="34"/>
      <c r="J433" s="93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>
      <c r="A434" s="34"/>
      <c r="B434" s="34"/>
      <c r="C434" s="34"/>
      <c r="D434" s="34"/>
      <c r="E434" s="34"/>
      <c r="F434" s="34"/>
      <c r="G434" s="34"/>
      <c r="H434" s="34"/>
      <c r="I434" s="34"/>
      <c r="J434" s="93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>
      <c r="A435" s="34"/>
      <c r="B435" s="34"/>
      <c r="C435" s="34"/>
      <c r="D435" s="34"/>
      <c r="E435" s="34"/>
      <c r="F435" s="34"/>
      <c r="G435" s="34"/>
      <c r="H435" s="34"/>
      <c r="I435" s="34"/>
      <c r="J435" s="93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>
      <c r="A436" s="34"/>
      <c r="B436" s="34"/>
      <c r="C436" s="34"/>
      <c r="D436" s="34"/>
      <c r="E436" s="34"/>
      <c r="F436" s="34"/>
      <c r="G436" s="34"/>
      <c r="H436" s="34"/>
      <c r="I436" s="34"/>
      <c r="J436" s="93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>
      <c r="A437" s="34"/>
      <c r="B437" s="34"/>
      <c r="C437" s="34"/>
      <c r="D437" s="34"/>
      <c r="E437" s="34"/>
      <c r="F437" s="34"/>
      <c r="G437" s="34"/>
      <c r="H437" s="34"/>
      <c r="I437" s="34"/>
      <c r="J437" s="93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>
      <c r="A438" s="34"/>
      <c r="B438" s="34"/>
      <c r="C438" s="34"/>
      <c r="D438" s="34"/>
      <c r="E438" s="34"/>
      <c r="F438" s="34"/>
      <c r="G438" s="34"/>
      <c r="H438" s="34"/>
      <c r="I438" s="34"/>
      <c r="J438" s="93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>
      <c r="A439" s="34"/>
      <c r="B439" s="34"/>
      <c r="C439" s="34"/>
      <c r="D439" s="34"/>
      <c r="E439" s="34"/>
      <c r="F439" s="34"/>
      <c r="G439" s="34"/>
      <c r="H439" s="34"/>
      <c r="I439" s="34"/>
      <c r="J439" s="93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>
      <c r="A440" s="34"/>
      <c r="B440" s="34"/>
      <c r="C440" s="34"/>
      <c r="D440" s="34"/>
      <c r="E440" s="34"/>
      <c r="F440" s="34"/>
      <c r="G440" s="34"/>
      <c r="H440" s="34"/>
      <c r="I440" s="34"/>
      <c r="J440" s="93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>
      <c r="A441" s="34"/>
      <c r="B441" s="34"/>
      <c r="C441" s="34"/>
      <c r="D441" s="34"/>
      <c r="E441" s="34"/>
      <c r="F441" s="34"/>
      <c r="G441" s="34"/>
      <c r="H441" s="34"/>
      <c r="I441" s="34"/>
      <c r="J441" s="93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>
      <c r="A442" s="34"/>
      <c r="B442" s="34"/>
      <c r="C442" s="34"/>
      <c r="D442" s="34"/>
      <c r="E442" s="34"/>
      <c r="F442" s="34"/>
      <c r="G442" s="34"/>
      <c r="H442" s="34"/>
      <c r="I442" s="34"/>
      <c r="J442" s="93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>
      <c r="A443" s="34"/>
      <c r="B443" s="34"/>
      <c r="C443" s="34"/>
      <c r="D443" s="34"/>
      <c r="E443" s="34"/>
      <c r="F443" s="34"/>
      <c r="G443" s="34"/>
      <c r="H443" s="34"/>
      <c r="I443" s="34"/>
      <c r="J443" s="93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>
      <c r="A444" s="34"/>
      <c r="B444" s="34"/>
      <c r="C444" s="34"/>
      <c r="D444" s="34"/>
      <c r="E444" s="34"/>
      <c r="F444" s="34"/>
      <c r="G444" s="34"/>
      <c r="H444" s="34"/>
      <c r="I444" s="34"/>
      <c r="J444" s="93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>
      <c r="A445" s="34"/>
      <c r="B445" s="34"/>
      <c r="C445" s="34"/>
      <c r="D445" s="34"/>
      <c r="E445" s="34"/>
      <c r="F445" s="34"/>
      <c r="G445" s="34"/>
      <c r="H445" s="34"/>
      <c r="I445" s="34"/>
      <c r="J445" s="93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>
      <c r="A446" s="34"/>
      <c r="B446" s="34"/>
      <c r="C446" s="34"/>
      <c r="D446" s="34"/>
      <c r="E446" s="34"/>
      <c r="F446" s="34"/>
      <c r="G446" s="34"/>
      <c r="H446" s="34"/>
      <c r="I446" s="34"/>
      <c r="J446" s="93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>
      <c r="A447" s="34"/>
      <c r="B447" s="34"/>
      <c r="C447" s="34"/>
      <c r="D447" s="34"/>
      <c r="E447" s="34"/>
      <c r="F447" s="34"/>
      <c r="G447" s="34"/>
      <c r="H447" s="34"/>
      <c r="I447" s="34"/>
      <c r="J447" s="93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>
      <c r="A448" s="34"/>
      <c r="B448" s="34"/>
      <c r="C448" s="34"/>
      <c r="D448" s="34"/>
      <c r="E448" s="34"/>
      <c r="F448" s="34"/>
      <c r="G448" s="34"/>
      <c r="H448" s="34"/>
      <c r="I448" s="34"/>
      <c r="J448" s="93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>
      <c r="A449" s="34"/>
      <c r="B449" s="34"/>
      <c r="C449" s="34"/>
      <c r="D449" s="34"/>
      <c r="E449" s="34"/>
      <c r="F449" s="34"/>
      <c r="G449" s="34"/>
      <c r="H449" s="34"/>
      <c r="I449" s="34"/>
      <c r="J449" s="93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>
      <c r="A450" s="34"/>
      <c r="B450" s="34"/>
      <c r="C450" s="34"/>
      <c r="D450" s="34"/>
      <c r="E450" s="34"/>
      <c r="F450" s="34"/>
      <c r="G450" s="34"/>
      <c r="H450" s="34"/>
      <c r="I450" s="34"/>
      <c r="J450" s="93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>
      <c r="A451" s="34"/>
      <c r="B451" s="34"/>
      <c r="C451" s="34"/>
      <c r="D451" s="34"/>
      <c r="E451" s="34"/>
      <c r="F451" s="34"/>
      <c r="G451" s="34"/>
      <c r="H451" s="34"/>
      <c r="I451" s="34"/>
      <c r="J451" s="93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>
      <c r="A452" s="34"/>
      <c r="B452" s="34"/>
      <c r="C452" s="34"/>
      <c r="D452" s="34"/>
      <c r="E452" s="34"/>
      <c r="F452" s="34"/>
      <c r="G452" s="34"/>
      <c r="H452" s="34"/>
      <c r="I452" s="34"/>
      <c r="J452" s="93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>
      <c r="A453" s="34"/>
      <c r="B453" s="34"/>
      <c r="C453" s="34"/>
      <c r="D453" s="34"/>
      <c r="E453" s="34"/>
      <c r="F453" s="34"/>
      <c r="G453" s="34"/>
      <c r="H453" s="34"/>
      <c r="I453" s="34"/>
      <c r="J453" s="93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>
      <c r="A454" s="34"/>
      <c r="B454" s="34"/>
      <c r="C454" s="34"/>
      <c r="D454" s="34"/>
      <c r="E454" s="34"/>
      <c r="F454" s="34"/>
      <c r="G454" s="34"/>
      <c r="H454" s="34"/>
      <c r="I454" s="34"/>
      <c r="J454" s="93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>
      <c r="A455" s="34"/>
      <c r="B455" s="34"/>
      <c r="C455" s="34"/>
      <c r="D455" s="34"/>
      <c r="E455" s="34"/>
      <c r="F455" s="34"/>
      <c r="G455" s="34"/>
      <c r="H455" s="34"/>
      <c r="I455" s="34"/>
      <c r="J455" s="93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>
      <c r="A456" s="34"/>
      <c r="B456" s="34"/>
      <c r="C456" s="34"/>
      <c r="D456" s="34"/>
      <c r="E456" s="34"/>
      <c r="F456" s="34"/>
      <c r="G456" s="34"/>
      <c r="H456" s="34"/>
      <c r="I456" s="34"/>
      <c r="J456" s="93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>
      <c r="A457" s="34"/>
      <c r="B457" s="34"/>
      <c r="C457" s="34"/>
      <c r="D457" s="34"/>
      <c r="E457" s="34"/>
      <c r="F457" s="34"/>
      <c r="G457" s="34"/>
      <c r="H457" s="34"/>
      <c r="I457" s="34"/>
      <c r="J457" s="93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>
      <c r="A458" s="34"/>
      <c r="B458" s="34"/>
      <c r="C458" s="34"/>
      <c r="D458" s="34"/>
      <c r="E458" s="34"/>
      <c r="F458" s="34"/>
      <c r="G458" s="34"/>
      <c r="H458" s="34"/>
      <c r="I458" s="34"/>
      <c r="J458" s="93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>
      <c r="A459" s="34"/>
      <c r="B459" s="34"/>
      <c r="C459" s="34"/>
      <c r="D459" s="34"/>
      <c r="E459" s="34"/>
      <c r="F459" s="34"/>
      <c r="G459" s="34"/>
      <c r="H459" s="34"/>
      <c r="I459" s="34"/>
      <c r="J459" s="93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>
      <c r="A460" s="34"/>
      <c r="B460" s="34"/>
      <c r="C460" s="34"/>
      <c r="D460" s="34"/>
      <c r="E460" s="34"/>
      <c r="F460" s="34"/>
      <c r="G460" s="34"/>
      <c r="H460" s="34"/>
      <c r="I460" s="34"/>
      <c r="J460" s="93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>
      <c r="A461" s="34"/>
      <c r="B461" s="34"/>
      <c r="C461" s="34"/>
      <c r="D461" s="34"/>
      <c r="E461" s="34"/>
      <c r="F461" s="34"/>
      <c r="G461" s="34"/>
      <c r="H461" s="34"/>
      <c r="I461" s="34"/>
      <c r="J461" s="93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>
      <c r="A462" s="34"/>
      <c r="B462" s="34"/>
      <c r="C462" s="34"/>
      <c r="D462" s="34"/>
      <c r="E462" s="34"/>
      <c r="F462" s="34"/>
      <c r="G462" s="34"/>
      <c r="H462" s="34"/>
      <c r="I462" s="34"/>
      <c r="J462" s="93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>
      <c r="A463" s="34"/>
      <c r="B463" s="34"/>
      <c r="C463" s="34"/>
      <c r="D463" s="34"/>
      <c r="E463" s="34"/>
      <c r="F463" s="34"/>
      <c r="G463" s="34"/>
      <c r="H463" s="34"/>
      <c r="I463" s="34"/>
      <c r="J463" s="93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>
      <c r="A464" s="34"/>
      <c r="B464" s="34"/>
      <c r="C464" s="34"/>
      <c r="D464" s="34"/>
      <c r="E464" s="34"/>
      <c r="F464" s="34"/>
      <c r="G464" s="34"/>
      <c r="H464" s="34"/>
      <c r="I464" s="34"/>
      <c r="J464" s="93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>
      <c r="A465" s="34"/>
      <c r="B465" s="34"/>
      <c r="C465" s="34"/>
      <c r="D465" s="34"/>
      <c r="E465" s="34"/>
      <c r="F465" s="34"/>
      <c r="G465" s="34"/>
      <c r="H465" s="34"/>
      <c r="I465" s="34"/>
      <c r="J465" s="93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>
      <c r="A466" s="34"/>
      <c r="B466" s="34"/>
      <c r="C466" s="34"/>
      <c r="D466" s="34"/>
      <c r="E466" s="34"/>
      <c r="F466" s="34"/>
      <c r="G466" s="34"/>
      <c r="H466" s="34"/>
      <c r="I466" s="34"/>
      <c r="J466" s="93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>
      <c r="A467" s="34"/>
      <c r="B467" s="34"/>
      <c r="C467" s="34"/>
      <c r="D467" s="34"/>
      <c r="E467" s="34"/>
      <c r="F467" s="34"/>
      <c r="G467" s="34"/>
      <c r="H467" s="34"/>
      <c r="I467" s="34"/>
      <c r="J467" s="93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>
      <c r="A468" s="34"/>
      <c r="B468" s="34"/>
      <c r="C468" s="34"/>
      <c r="D468" s="34"/>
      <c r="E468" s="34"/>
      <c r="F468" s="34"/>
      <c r="G468" s="34"/>
      <c r="H468" s="34"/>
      <c r="I468" s="34"/>
      <c r="J468" s="93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>
      <c r="A469" s="34"/>
      <c r="B469" s="34"/>
      <c r="C469" s="34"/>
      <c r="D469" s="34"/>
      <c r="E469" s="34"/>
      <c r="F469" s="34"/>
      <c r="G469" s="34"/>
      <c r="H469" s="34"/>
      <c r="I469" s="34"/>
      <c r="J469" s="93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>
      <c r="A470" s="34"/>
      <c r="B470" s="34"/>
      <c r="C470" s="34"/>
      <c r="D470" s="34"/>
      <c r="E470" s="34"/>
      <c r="F470" s="34"/>
      <c r="G470" s="34"/>
      <c r="H470" s="34"/>
      <c r="I470" s="34"/>
      <c r="J470" s="93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>
      <c r="A471" s="34"/>
      <c r="B471" s="34"/>
      <c r="C471" s="34"/>
      <c r="D471" s="34"/>
      <c r="E471" s="34"/>
      <c r="F471" s="34"/>
      <c r="G471" s="34"/>
      <c r="H471" s="34"/>
      <c r="I471" s="34"/>
      <c r="J471" s="93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>
      <c r="A472" s="34"/>
      <c r="B472" s="34"/>
      <c r="C472" s="34"/>
      <c r="D472" s="34"/>
      <c r="E472" s="34"/>
      <c r="F472" s="34"/>
      <c r="G472" s="34"/>
      <c r="H472" s="34"/>
      <c r="I472" s="34"/>
      <c r="J472" s="93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>
      <c r="A473" s="34"/>
      <c r="B473" s="34"/>
      <c r="C473" s="34"/>
      <c r="D473" s="34"/>
      <c r="E473" s="34"/>
      <c r="F473" s="34"/>
      <c r="G473" s="34"/>
      <c r="H473" s="34"/>
      <c r="I473" s="34"/>
      <c r="J473" s="93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>
      <c r="A474" s="34"/>
      <c r="B474" s="34"/>
      <c r="C474" s="34"/>
      <c r="D474" s="34"/>
      <c r="E474" s="34"/>
      <c r="F474" s="34"/>
      <c r="G474" s="34"/>
      <c r="H474" s="34"/>
      <c r="I474" s="34"/>
      <c r="J474" s="93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>
      <c r="A475" s="34"/>
      <c r="B475" s="34"/>
      <c r="C475" s="34"/>
      <c r="D475" s="34"/>
      <c r="E475" s="34"/>
      <c r="F475" s="34"/>
      <c r="G475" s="34"/>
      <c r="H475" s="34"/>
      <c r="I475" s="34"/>
      <c r="J475" s="93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>
      <c r="A476" s="34"/>
      <c r="B476" s="34"/>
      <c r="C476" s="34"/>
      <c r="D476" s="34"/>
      <c r="E476" s="34"/>
      <c r="F476" s="34"/>
      <c r="G476" s="34"/>
      <c r="H476" s="34"/>
      <c r="I476" s="34"/>
      <c r="J476" s="93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>
      <c r="A477" s="34"/>
      <c r="B477" s="34"/>
      <c r="C477" s="34"/>
      <c r="D477" s="34"/>
      <c r="E477" s="34"/>
      <c r="F477" s="34"/>
      <c r="G477" s="34"/>
      <c r="H477" s="34"/>
      <c r="I477" s="34"/>
      <c r="J477" s="93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>
      <c r="A478" s="34"/>
      <c r="B478" s="34"/>
      <c r="C478" s="34"/>
      <c r="D478" s="34"/>
      <c r="E478" s="34"/>
      <c r="F478" s="34"/>
      <c r="G478" s="34"/>
      <c r="H478" s="34"/>
      <c r="I478" s="34"/>
      <c r="J478" s="93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>
      <c r="A479" s="34"/>
      <c r="B479" s="34"/>
      <c r="C479" s="34"/>
      <c r="D479" s="34"/>
      <c r="E479" s="34"/>
      <c r="F479" s="34"/>
      <c r="G479" s="34"/>
      <c r="H479" s="34"/>
      <c r="I479" s="34"/>
      <c r="J479" s="93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>
      <c r="A480" s="34"/>
      <c r="B480" s="34"/>
      <c r="C480" s="34"/>
      <c r="D480" s="34"/>
      <c r="E480" s="34"/>
      <c r="F480" s="34"/>
      <c r="G480" s="34"/>
      <c r="H480" s="34"/>
      <c r="I480" s="34"/>
      <c r="J480" s="93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>
      <c r="A481" s="34"/>
      <c r="B481" s="34"/>
      <c r="C481" s="34"/>
      <c r="D481" s="34"/>
      <c r="E481" s="34"/>
      <c r="F481" s="34"/>
      <c r="G481" s="34"/>
      <c r="H481" s="34"/>
      <c r="I481" s="34"/>
      <c r="J481" s="93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>
      <c r="A482" s="34"/>
      <c r="B482" s="34"/>
      <c r="C482" s="34"/>
      <c r="D482" s="34"/>
      <c r="E482" s="34"/>
      <c r="F482" s="34"/>
      <c r="G482" s="34"/>
      <c r="H482" s="34"/>
      <c r="I482" s="34"/>
      <c r="J482" s="93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>
      <c r="A483" s="34"/>
      <c r="B483" s="34"/>
      <c r="C483" s="34"/>
      <c r="D483" s="34"/>
      <c r="E483" s="34"/>
      <c r="F483" s="34"/>
      <c r="G483" s="34"/>
      <c r="H483" s="34"/>
      <c r="I483" s="34"/>
      <c r="J483" s="93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>
      <c r="A484" s="34"/>
      <c r="B484" s="34"/>
      <c r="C484" s="34"/>
      <c r="D484" s="34"/>
      <c r="E484" s="34"/>
      <c r="F484" s="34"/>
      <c r="G484" s="34"/>
      <c r="H484" s="34"/>
      <c r="I484" s="34"/>
      <c r="J484" s="93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>
      <c r="A485" s="34"/>
      <c r="B485" s="34"/>
      <c r="C485" s="34"/>
      <c r="D485" s="34"/>
      <c r="E485" s="34"/>
      <c r="F485" s="34"/>
      <c r="G485" s="34"/>
      <c r="H485" s="34"/>
      <c r="I485" s="34"/>
      <c r="J485" s="93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>
      <c r="A486" s="34"/>
      <c r="B486" s="34"/>
      <c r="C486" s="34"/>
      <c r="D486" s="34"/>
      <c r="E486" s="34"/>
      <c r="F486" s="34"/>
      <c r="G486" s="34"/>
      <c r="H486" s="34"/>
      <c r="I486" s="34"/>
      <c r="J486" s="93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>
      <c r="A487" s="34"/>
      <c r="B487" s="34"/>
      <c r="C487" s="34"/>
      <c r="D487" s="34"/>
      <c r="E487" s="34"/>
      <c r="F487" s="34"/>
      <c r="G487" s="34"/>
      <c r="H487" s="34"/>
      <c r="I487" s="34"/>
      <c r="J487" s="93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>
      <c r="A488" s="34"/>
      <c r="B488" s="34"/>
      <c r="C488" s="34"/>
      <c r="D488" s="34"/>
      <c r="E488" s="34"/>
      <c r="F488" s="34"/>
      <c r="G488" s="34"/>
      <c r="H488" s="34"/>
      <c r="I488" s="34"/>
      <c r="J488" s="93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>
      <c r="A489" s="34"/>
      <c r="B489" s="34"/>
      <c r="C489" s="34"/>
      <c r="D489" s="34"/>
      <c r="E489" s="34"/>
      <c r="F489" s="34"/>
      <c r="G489" s="34"/>
      <c r="H489" s="34"/>
      <c r="I489" s="34"/>
      <c r="J489" s="93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>
      <c r="A490" s="34"/>
      <c r="B490" s="34"/>
      <c r="C490" s="34"/>
      <c r="D490" s="34"/>
      <c r="E490" s="34"/>
      <c r="F490" s="34"/>
      <c r="G490" s="34"/>
      <c r="H490" s="34"/>
      <c r="I490" s="34"/>
      <c r="J490" s="93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>
      <c r="A491" s="34"/>
      <c r="B491" s="34"/>
      <c r="C491" s="34"/>
      <c r="D491" s="34"/>
      <c r="E491" s="34"/>
      <c r="F491" s="34"/>
      <c r="G491" s="34"/>
      <c r="H491" s="34"/>
      <c r="I491" s="34"/>
      <c r="J491" s="93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>
      <c r="A492" s="34"/>
      <c r="B492" s="34"/>
      <c r="C492" s="34"/>
      <c r="D492" s="34"/>
      <c r="E492" s="34"/>
      <c r="F492" s="34"/>
      <c r="G492" s="34"/>
      <c r="H492" s="34"/>
      <c r="I492" s="34"/>
      <c r="J492" s="93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>
      <c r="A493" s="34"/>
      <c r="B493" s="34"/>
      <c r="C493" s="34"/>
      <c r="D493" s="34"/>
      <c r="E493" s="34"/>
      <c r="F493" s="34"/>
      <c r="G493" s="34"/>
      <c r="H493" s="34"/>
      <c r="I493" s="34"/>
      <c r="J493" s="93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>
      <c r="A494" s="34"/>
      <c r="B494" s="34"/>
      <c r="C494" s="34"/>
      <c r="D494" s="34"/>
      <c r="E494" s="34"/>
      <c r="F494" s="34"/>
      <c r="G494" s="34"/>
      <c r="H494" s="34"/>
      <c r="I494" s="34"/>
      <c r="J494" s="93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>
      <c r="A495" s="34"/>
      <c r="B495" s="34"/>
      <c r="C495" s="34"/>
      <c r="D495" s="34"/>
      <c r="E495" s="34"/>
      <c r="F495" s="34"/>
      <c r="G495" s="34"/>
      <c r="H495" s="34"/>
      <c r="I495" s="34"/>
      <c r="J495" s="93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>
      <c r="A496" s="34"/>
      <c r="B496" s="34"/>
      <c r="C496" s="34"/>
      <c r="D496" s="34"/>
      <c r="E496" s="34"/>
      <c r="F496" s="34"/>
      <c r="G496" s="34"/>
      <c r="H496" s="34"/>
      <c r="I496" s="34"/>
      <c r="J496" s="93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>
      <c r="A497" s="34"/>
      <c r="B497" s="34"/>
      <c r="C497" s="34"/>
      <c r="D497" s="34"/>
      <c r="E497" s="34"/>
      <c r="F497" s="34"/>
      <c r="G497" s="34"/>
      <c r="H497" s="34"/>
      <c r="I497" s="34"/>
      <c r="J497" s="93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>
      <c r="A498" s="34"/>
      <c r="B498" s="34"/>
      <c r="C498" s="34"/>
      <c r="D498" s="34"/>
      <c r="E498" s="34"/>
      <c r="F498" s="34"/>
      <c r="G498" s="34"/>
      <c r="H498" s="34"/>
      <c r="I498" s="34"/>
      <c r="J498" s="93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>
      <c r="A499" s="34"/>
      <c r="B499" s="34"/>
      <c r="C499" s="34"/>
      <c r="D499" s="34"/>
      <c r="E499" s="34"/>
      <c r="F499" s="34"/>
      <c r="G499" s="34"/>
      <c r="H499" s="34"/>
      <c r="I499" s="34"/>
      <c r="J499" s="93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>
      <c r="A500" s="34"/>
      <c r="B500" s="34"/>
      <c r="C500" s="34"/>
      <c r="D500" s="34"/>
      <c r="E500" s="34"/>
      <c r="F500" s="34"/>
      <c r="G500" s="34"/>
      <c r="H500" s="34"/>
      <c r="I500" s="34"/>
      <c r="J500" s="93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>
      <c r="A501" s="34"/>
      <c r="B501" s="34"/>
      <c r="C501" s="34"/>
      <c r="D501" s="34"/>
      <c r="E501" s="34"/>
      <c r="F501" s="34"/>
      <c r="G501" s="34"/>
      <c r="H501" s="34"/>
      <c r="I501" s="34"/>
      <c r="J501" s="93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>
      <c r="A502" s="34"/>
      <c r="B502" s="34"/>
      <c r="C502" s="34"/>
      <c r="D502" s="34"/>
      <c r="E502" s="34"/>
      <c r="F502" s="34"/>
      <c r="G502" s="34"/>
      <c r="H502" s="34"/>
      <c r="I502" s="34"/>
      <c r="J502" s="93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>
      <c r="A503" s="34"/>
      <c r="B503" s="34"/>
      <c r="C503" s="34"/>
      <c r="D503" s="34"/>
      <c r="E503" s="34"/>
      <c r="F503" s="34"/>
      <c r="G503" s="34"/>
      <c r="H503" s="34"/>
      <c r="I503" s="34"/>
      <c r="J503" s="93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>
      <c r="A504" s="34"/>
      <c r="B504" s="34"/>
      <c r="C504" s="34"/>
      <c r="D504" s="34"/>
      <c r="E504" s="34"/>
      <c r="F504" s="34"/>
      <c r="G504" s="34"/>
      <c r="H504" s="34"/>
      <c r="I504" s="34"/>
      <c r="J504" s="93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>
      <c r="A505" s="34"/>
      <c r="B505" s="34"/>
      <c r="C505" s="34"/>
      <c r="D505" s="34"/>
      <c r="E505" s="34"/>
      <c r="F505" s="34"/>
      <c r="G505" s="34"/>
      <c r="H505" s="34"/>
      <c r="I505" s="34"/>
      <c r="J505" s="93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>
      <c r="A506" s="34"/>
      <c r="B506" s="34"/>
      <c r="C506" s="34"/>
      <c r="D506" s="34"/>
      <c r="E506" s="34"/>
      <c r="F506" s="34"/>
      <c r="G506" s="34"/>
      <c r="H506" s="34"/>
      <c r="I506" s="34"/>
      <c r="J506" s="93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>
      <c r="A507" s="34"/>
      <c r="B507" s="34"/>
      <c r="C507" s="34"/>
      <c r="D507" s="34"/>
      <c r="E507" s="34"/>
      <c r="F507" s="34"/>
      <c r="G507" s="34"/>
      <c r="H507" s="34"/>
      <c r="I507" s="34"/>
      <c r="J507" s="93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>
      <c r="A508" s="34"/>
      <c r="B508" s="34"/>
      <c r="C508" s="34"/>
      <c r="D508" s="34"/>
      <c r="E508" s="34"/>
      <c r="F508" s="34"/>
      <c r="G508" s="34"/>
      <c r="H508" s="34"/>
      <c r="I508" s="34"/>
      <c r="J508" s="93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>
      <c r="A509" s="34"/>
      <c r="B509" s="34"/>
      <c r="C509" s="34"/>
      <c r="D509" s="34"/>
      <c r="E509" s="34"/>
      <c r="F509" s="34"/>
      <c r="G509" s="34"/>
      <c r="H509" s="34"/>
      <c r="I509" s="34"/>
      <c r="J509" s="93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>
      <c r="A510" s="34"/>
      <c r="B510" s="34"/>
      <c r="C510" s="34"/>
      <c r="D510" s="34"/>
      <c r="E510" s="34"/>
      <c r="F510" s="34"/>
      <c r="G510" s="34"/>
      <c r="H510" s="34"/>
      <c r="I510" s="34"/>
      <c r="J510" s="93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>
      <c r="A511" s="34"/>
      <c r="B511" s="34"/>
      <c r="C511" s="34"/>
      <c r="D511" s="34"/>
      <c r="E511" s="34"/>
      <c r="F511" s="34"/>
      <c r="G511" s="34"/>
      <c r="H511" s="34"/>
      <c r="I511" s="34"/>
      <c r="J511" s="93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>
      <c r="A512" s="34"/>
      <c r="B512" s="34"/>
      <c r="C512" s="34"/>
      <c r="D512" s="34"/>
      <c r="E512" s="34"/>
      <c r="F512" s="34"/>
      <c r="G512" s="34"/>
      <c r="H512" s="34"/>
      <c r="I512" s="34"/>
      <c r="J512" s="93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>
      <c r="A513" s="34"/>
      <c r="B513" s="34"/>
      <c r="C513" s="34"/>
      <c r="D513" s="34"/>
      <c r="E513" s="34"/>
      <c r="F513" s="34"/>
      <c r="G513" s="34"/>
      <c r="H513" s="34"/>
      <c r="I513" s="34"/>
      <c r="J513" s="93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>
      <c r="A514" s="34"/>
      <c r="B514" s="34"/>
      <c r="C514" s="34"/>
      <c r="D514" s="34"/>
      <c r="E514" s="34"/>
      <c r="F514" s="34"/>
      <c r="G514" s="34"/>
      <c r="H514" s="34"/>
      <c r="I514" s="34"/>
      <c r="J514" s="93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>
      <c r="A515" s="34"/>
      <c r="B515" s="34"/>
      <c r="C515" s="34"/>
      <c r="D515" s="34"/>
      <c r="E515" s="34"/>
      <c r="F515" s="34"/>
      <c r="G515" s="34"/>
      <c r="H515" s="34"/>
      <c r="I515" s="34"/>
      <c r="J515" s="93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>
      <c r="A516" s="34"/>
      <c r="B516" s="34"/>
      <c r="C516" s="34"/>
      <c r="D516" s="34"/>
      <c r="E516" s="34"/>
      <c r="F516" s="34"/>
      <c r="G516" s="34"/>
      <c r="H516" s="34"/>
      <c r="I516" s="34"/>
      <c r="J516" s="93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>
      <c r="A517" s="34"/>
      <c r="B517" s="34"/>
      <c r="C517" s="34"/>
      <c r="D517" s="34"/>
      <c r="E517" s="34"/>
      <c r="F517" s="34"/>
      <c r="G517" s="34"/>
      <c r="H517" s="34"/>
      <c r="I517" s="34"/>
      <c r="J517" s="93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>
      <c r="A518" s="34"/>
      <c r="B518" s="34"/>
      <c r="C518" s="34"/>
      <c r="D518" s="34"/>
      <c r="E518" s="34"/>
      <c r="F518" s="34"/>
      <c r="G518" s="34"/>
      <c r="H518" s="34"/>
      <c r="I518" s="34"/>
      <c r="J518" s="93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>
      <c r="A519" s="34"/>
      <c r="B519" s="34"/>
      <c r="C519" s="34"/>
      <c r="D519" s="34"/>
      <c r="E519" s="34"/>
      <c r="F519" s="34"/>
      <c r="G519" s="34"/>
      <c r="H519" s="34"/>
      <c r="I519" s="34"/>
      <c r="J519" s="93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>
      <c r="A520" s="34"/>
      <c r="B520" s="34"/>
      <c r="C520" s="34"/>
      <c r="D520" s="34"/>
      <c r="E520" s="34"/>
      <c r="F520" s="34"/>
      <c r="G520" s="34"/>
      <c r="H520" s="34"/>
      <c r="I520" s="34"/>
      <c r="J520" s="93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>
      <c r="A521" s="34"/>
      <c r="B521" s="34"/>
      <c r="C521" s="34"/>
      <c r="D521" s="34"/>
      <c r="E521" s="34"/>
      <c r="F521" s="34"/>
      <c r="G521" s="34"/>
      <c r="H521" s="34"/>
      <c r="I521" s="34"/>
      <c r="J521" s="93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>
      <c r="A522" s="34"/>
      <c r="B522" s="34"/>
      <c r="C522" s="34"/>
      <c r="D522" s="34"/>
      <c r="E522" s="34"/>
      <c r="F522" s="34"/>
      <c r="G522" s="34"/>
      <c r="H522" s="34"/>
      <c r="I522" s="34"/>
      <c r="J522" s="93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>
      <c r="A523" s="34"/>
      <c r="B523" s="34"/>
      <c r="C523" s="34"/>
      <c r="D523" s="34"/>
      <c r="E523" s="34"/>
      <c r="F523" s="34"/>
      <c r="G523" s="34"/>
      <c r="H523" s="34"/>
      <c r="I523" s="34"/>
      <c r="J523" s="93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>
      <c r="A524" s="34"/>
      <c r="B524" s="34"/>
      <c r="C524" s="34"/>
      <c r="D524" s="34"/>
      <c r="E524" s="34"/>
      <c r="F524" s="34"/>
      <c r="G524" s="34"/>
      <c r="H524" s="34"/>
      <c r="I524" s="34"/>
      <c r="J524" s="93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>
      <c r="A525" s="34"/>
      <c r="B525" s="34"/>
      <c r="C525" s="34"/>
      <c r="D525" s="34"/>
      <c r="E525" s="34"/>
      <c r="F525" s="34"/>
      <c r="G525" s="34"/>
      <c r="H525" s="34"/>
      <c r="I525" s="34"/>
      <c r="J525" s="93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>
      <c r="A526" s="34"/>
      <c r="B526" s="34"/>
      <c r="C526" s="34"/>
      <c r="D526" s="34"/>
      <c r="E526" s="34"/>
      <c r="F526" s="34"/>
      <c r="G526" s="34"/>
      <c r="H526" s="34"/>
      <c r="I526" s="34"/>
      <c r="J526" s="93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>
      <c r="A527" s="34"/>
      <c r="B527" s="34"/>
      <c r="C527" s="34"/>
      <c r="D527" s="34"/>
      <c r="E527" s="34"/>
      <c r="F527" s="34"/>
      <c r="G527" s="34"/>
      <c r="H527" s="34"/>
      <c r="I527" s="34"/>
      <c r="J527" s="93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>
      <c r="A528" s="34"/>
      <c r="B528" s="34"/>
      <c r="C528" s="34"/>
      <c r="D528" s="34"/>
      <c r="E528" s="34"/>
      <c r="F528" s="34"/>
      <c r="G528" s="34"/>
      <c r="H528" s="34"/>
      <c r="I528" s="34"/>
      <c r="J528" s="93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>
      <c r="A529" s="34"/>
      <c r="B529" s="34"/>
      <c r="C529" s="34"/>
      <c r="D529" s="34"/>
      <c r="E529" s="34"/>
      <c r="F529" s="34"/>
      <c r="G529" s="34"/>
      <c r="H529" s="34"/>
      <c r="I529" s="34"/>
      <c r="J529" s="93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>
      <c r="A530" s="34"/>
      <c r="B530" s="34"/>
      <c r="C530" s="34"/>
      <c r="D530" s="34"/>
      <c r="E530" s="34"/>
      <c r="F530" s="34"/>
      <c r="G530" s="34"/>
      <c r="H530" s="34"/>
      <c r="I530" s="34"/>
      <c r="J530" s="93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>
      <c r="A531" s="34"/>
      <c r="B531" s="34"/>
      <c r="C531" s="34"/>
      <c r="D531" s="34"/>
      <c r="E531" s="34"/>
      <c r="F531" s="34"/>
      <c r="G531" s="34"/>
      <c r="H531" s="34"/>
      <c r="I531" s="34"/>
      <c r="J531" s="93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>
      <c r="A532" s="34"/>
      <c r="B532" s="34"/>
      <c r="C532" s="34"/>
      <c r="D532" s="34"/>
      <c r="E532" s="34"/>
      <c r="F532" s="34"/>
      <c r="G532" s="34"/>
      <c r="H532" s="34"/>
      <c r="I532" s="34"/>
      <c r="J532" s="93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>
      <c r="A533" s="34"/>
      <c r="B533" s="34"/>
      <c r="C533" s="34"/>
      <c r="D533" s="34"/>
      <c r="E533" s="34"/>
      <c r="F533" s="34"/>
      <c r="G533" s="34"/>
      <c r="H533" s="34"/>
      <c r="I533" s="34"/>
      <c r="J533" s="93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>
      <c r="A534" s="34"/>
      <c r="B534" s="34"/>
      <c r="C534" s="34"/>
      <c r="D534" s="34"/>
      <c r="E534" s="34"/>
      <c r="F534" s="34"/>
      <c r="G534" s="34"/>
      <c r="H534" s="34"/>
      <c r="I534" s="34"/>
      <c r="J534" s="93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>
      <c r="A535" s="34"/>
      <c r="B535" s="34"/>
      <c r="C535" s="34"/>
      <c r="D535" s="34"/>
      <c r="E535" s="34"/>
      <c r="F535" s="34"/>
      <c r="G535" s="34"/>
      <c r="H535" s="34"/>
      <c r="I535" s="34"/>
      <c r="J535" s="93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>
      <c r="A536" s="34"/>
      <c r="B536" s="34"/>
      <c r="C536" s="34"/>
      <c r="D536" s="34"/>
      <c r="E536" s="34"/>
      <c r="F536" s="34"/>
      <c r="G536" s="34"/>
      <c r="H536" s="34"/>
      <c r="I536" s="34"/>
      <c r="J536" s="93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>
      <c r="A537" s="34"/>
      <c r="B537" s="34"/>
      <c r="C537" s="34"/>
      <c r="D537" s="34"/>
      <c r="E537" s="34"/>
      <c r="F537" s="34"/>
      <c r="G537" s="34"/>
      <c r="H537" s="34"/>
      <c r="I537" s="34"/>
      <c r="J537" s="93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>
      <c r="A538" s="34"/>
      <c r="B538" s="34"/>
      <c r="C538" s="34"/>
      <c r="D538" s="34"/>
      <c r="E538" s="34"/>
      <c r="F538" s="34"/>
      <c r="G538" s="34"/>
      <c r="H538" s="34"/>
      <c r="I538" s="34"/>
      <c r="J538" s="93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>
      <c r="A539" s="34"/>
      <c r="B539" s="34"/>
      <c r="C539" s="34"/>
      <c r="D539" s="34"/>
      <c r="E539" s="34"/>
      <c r="F539" s="34"/>
      <c r="G539" s="34"/>
      <c r="H539" s="34"/>
      <c r="I539" s="34"/>
      <c r="J539" s="93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>
      <c r="A540" s="34"/>
      <c r="B540" s="34"/>
      <c r="C540" s="34"/>
      <c r="D540" s="34"/>
      <c r="E540" s="34"/>
      <c r="F540" s="34"/>
      <c r="G540" s="34"/>
      <c r="H540" s="34"/>
      <c r="I540" s="34"/>
      <c r="J540" s="93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>
      <c r="A541" s="34"/>
      <c r="B541" s="34"/>
      <c r="C541" s="34"/>
      <c r="D541" s="34"/>
      <c r="E541" s="34"/>
      <c r="F541" s="34"/>
      <c r="G541" s="34"/>
      <c r="H541" s="34"/>
      <c r="I541" s="34"/>
      <c r="J541" s="93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>
      <c r="A542" s="34"/>
      <c r="B542" s="34"/>
      <c r="C542" s="34"/>
      <c r="D542" s="34"/>
      <c r="E542" s="34"/>
      <c r="F542" s="34"/>
      <c r="G542" s="34"/>
      <c r="H542" s="34"/>
      <c r="I542" s="34"/>
      <c r="J542" s="93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>
      <c r="A543" s="34"/>
      <c r="B543" s="34"/>
      <c r="C543" s="34"/>
      <c r="D543" s="34"/>
      <c r="E543" s="34"/>
      <c r="F543" s="34"/>
      <c r="G543" s="34"/>
      <c r="H543" s="34"/>
      <c r="I543" s="34"/>
      <c r="J543" s="93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>
      <c r="A544" s="34"/>
      <c r="B544" s="34"/>
      <c r="C544" s="34"/>
      <c r="D544" s="34"/>
      <c r="E544" s="34"/>
      <c r="F544" s="34"/>
      <c r="G544" s="34"/>
      <c r="H544" s="34"/>
      <c r="I544" s="34"/>
      <c r="J544" s="93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>
      <c r="A545" s="34"/>
      <c r="B545" s="34"/>
      <c r="C545" s="34"/>
      <c r="D545" s="34"/>
      <c r="E545" s="34"/>
      <c r="F545" s="34"/>
      <c r="G545" s="34"/>
      <c r="H545" s="34"/>
      <c r="I545" s="34"/>
      <c r="J545" s="93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>
      <c r="A546" s="34"/>
      <c r="B546" s="34"/>
      <c r="C546" s="34"/>
      <c r="D546" s="34"/>
      <c r="E546" s="34"/>
      <c r="F546" s="34"/>
      <c r="G546" s="34"/>
      <c r="H546" s="34"/>
      <c r="I546" s="34"/>
      <c r="J546" s="93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>
      <c r="A547" s="34"/>
      <c r="B547" s="34"/>
      <c r="C547" s="34"/>
      <c r="D547" s="34"/>
      <c r="E547" s="34"/>
      <c r="F547" s="34"/>
      <c r="G547" s="34"/>
      <c r="H547" s="34"/>
      <c r="I547" s="34"/>
      <c r="J547" s="93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>
      <c r="A548" s="34"/>
      <c r="B548" s="34"/>
      <c r="C548" s="34"/>
      <c r="D548" s="34"/>
      <c r="E548" s="34"/>
      <c r="F548" s="34"/>
      <c r="G548" s="34"/>
      <c r="H548" s="34"/>
      <c r="I548" s="34"/>
      <c r="J548" s="93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>
      <c r="A549" s="34"/>
      <c r="B549" s="34"/>
      <c r="C549" s="34"/>
      <c r="D549" s="34"/>
      <c r="E549" s="34"/>
      <c r="F549" s="34"/>
      <c r="G549" s="34"/>
      <c r="H549" s="34"/>
      <c r="I549" s="34"/>
      <c r="J549" s="93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>
      <c r="A550" s="34"/>
      <c r="B550" s="34"/>
      <c r="C550" s="34"/>
      <c r="D550" s="34"/>
      <c r="E550" s="34"/>
      <c r="F550" s="34"/>
      <c r="G550" s="34"/>
      <c r="H550" s="34"/>
      <c r="I550" s="34"/>
      <c r="J550" s="93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>
      <c r="A551" s="34"/>
      <c r="B551" s="34"/>
      <c r="C551" s="34"/>
      <c r="D551" s="34"/>
      <c r="E551" s="34"/>
      <c r="F551" s="34"/>
      <c r="G551" s="34"/>
      <c r="H551" s="34"/>
      <c r="I551" s="34"/>
      <c r="J551" s="93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>
      <c r="A552" s="34"/>
      <c r="B552" s="34"/>
      <c r="C552" s="34"/>
      <c r="D552" s="34"/>
      <c r="E552" s="34"/>
      <c r="F552" s="34"/>
      <c r="G552" s="34"/>
      <c r="H552" s="34"/>
      <c r="I552" s="34"/>
      <c r="J552" s="93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>
      <c r="A553" s="34"/>
      <c r="B553" s="34"/>
      <c r="C553" s="34"/>
      <c r="D553" s="34"/>
      <c r="E553" s="34"/>
      <c r="F553" s="34"/>
      <c r="G553" s="34"/>
      <c r="H553" s="34"/>
      <c r="I553" s="34"/>
      <c r="J553" s="93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>
      <c r="A554" s="34"/>
      <c r="B554" s="34"/>
      <c r="C554" s="34"/>
      <c r="D554" s="34"/>
      <c r="E554" s="34"/>
      <c r="F554" s="34"/>
      <c r="G554" s="34"/>
      <c r="H554" s="34"/>
      <c r="I554" s="34"/>
      <c r="J554" s="93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>
      <c r="A555" s="34"/>
      <c r="B555" s="34"/>
      <c r="C555" s="34"/>
      <c r="D555" s="34"/>
      <c r="E555" s="34"/>
      <c r="F555" s="34"/>
      <c r="G555" s="34"/>
      <c r="H555" s="34"/>
      <c r="I555" s="34"/>
      <c r="J555" s="93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>
      <c r="A556" s="34"/>
      <c r="B556" s="34"/>
      <c r="C556" s="34"/>
      <c r="D556" s="34"/>
      <c r="E556" s="34"/>
      <c r="F556" s="34"/>
      <c r="G556" s="34"/>
      <c r="H556" s="34"/>
      <c r="I556" s="34"/>
      <c r="J556" s="93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>
      <c r="A557" s="34"/>
      <c r="B557" s="34"/>
      <c r="C557" s="34"/>
      <c r="D557" s="34"/>
      <c r="E557" s="34"/>
      <c r="F557" s="34"/>
      <c r="G557" s="34"/>
      <c r="H557" s="34"/>
      <c r="I557" s="34"/>
      <c r="J557" s="93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>
      <c r="A558" s="34"/>
      <c r="B558" s="34"/>
      <c r="C558" s="34"/>
      <c r="D558" s="34"/>
      <c r="E558" s="34"/>
      <c r="F558" s="34"/>
      <c r="G558" s="34"/>
      <c r="H558" s="34"/>
      <c r="I558" s="34"/>
      <c r="J558" s="93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>
      <c r="A559" s="34"/>
      <c r="B559" s="34"/>
      <c r="C559" s="34"/>
      <c r="D559" s="34"/>
      <c r="E559" s="34"/>
      <c r="F559" s="34"/>
      <c r="G559" s="34"/>
      <c r="H559" s="34"/>
      <c r="I559" s="34"/>
      <c r="J559" s="93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>
      <c r="A560" s="34"/>
      <c r="B560" s="34"/>
      <c r="C560" s="34"/>
      <c r="D560" s="34"/>
      <c r="E560" s="34"/>
      <c r="F560" s="34"/>
      <c r="G560" s="34"/>
      <c r="H560" s="34"/>
      <c r="I560" s="34"/>
      <c r="J560" s="93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>
      <c r="A561" s="34"/>
      <c r="B561" s="34"/>
      <c r="C561" s="34"/>
      <c r="D561" s="34"/>
      <c r="E561" s="34"/>
      <c r="F561" s="34"/>
      <c r="G561" s="34"/>
      <c r="H561" s="34"/>
      <c r="I561" s="34"/>
      <c r="J561" s="93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>
      <c r="A562" s="34"/>
      <c r="B562" s="34"/>
      <c r="C562" s="34"/>
      <c r="D562" s="34"/>
      <c r="E562" s="34"/>
      <c r="F562" s="34"/>
      <c r="G562" s="34"/>
      <c r="H562" s="34"/>
      <c r="I562" s="34"/>
      <c r="J562" s="93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>
      <c r="A563" s="34"/>
      <c r="B563" s="34"/>
      <c r="C563" s="34"/>
      <c r="D563" s="34"/>
      <c r="E563" s="34"/>
      <c r="F563" s="34"/>
      <c r="G563" s="34"/>
      <c r="H563" s="34"/>
      <c r="I563" s="34"/>
      <c r="J563" s="93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>
      <c r="A564" s="34"/>
      <c r="B564" s="34"/>
      <c r="C564" s="34"/>
      <c r="D564" s="34"/>
      <c r="E564" s="34"/>
      <c r="F564" s="34"/>
      <c r="G564" s="34"/>
      <c r="H564" s="34"/>
      <c r="I564" s="34"/>
      <c r="J564" s="93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>
      <c r="A565" s="34"/>
      <c r="B565" s="34"/>
      <c r="C565" s="34"/>
      <c r="D565" s="34"/>
      <c r="E565" s="34"/>
      <c r="F565" s="34"/>
      <c r="G565" s="34"/>
      <c r="H565" s="34"/>
      <c r="I565" s="34"/>
      <c r="J565" s="93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>
      <c r="A566" s="34"/>
      <c r="B566" s="34"/>
      <c r="C566" s="34"/>
      <c r="D566" s="34"/>
      <c r="E566" s="34"/>
      <c r="F566" s="34"/>
      <c r="G566" s="34"/>
      <c r="H566" s="34"/>
      <c r="I566" s="34"/>
      <c r="J566" s="93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>
      <c r="A567" s="34"/>
      <c r="B567" s="34"/>
      <c r="C567" s="34"/>
      <c r="D567" s="34"/>
      <c r="E567" s="34"/>
      <c r="F567" s="34"/>
      <c r="G567" s="34"/>
      <c r="H567" s="34"/>
      <c r="I567" s="34"/>
      <c r="J567" s="93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>
      <c r="A568" s="34"/>
      <c r="B568" s="34"/>
      <c r="C568" s="34"/>
      <c r="D568" s="34"/>
      <c r="E568" s="34"/>
      <c r="F568" s="34"/>
      <c r="G568" s="34"/>
      <c r="H568" s="34"/>
      <c r="I568" s="34"/>
      <c r="J568" s="93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>
      <c r="A569" s="34"/>
      <c r="B569" s="34"/>
      <c r="C569" s="34"/>
      <c r="D569" s="34"/>
      <c r="E569" s="34"/>
      <c r="F569" s="34"/>
      <c r="G569" s="34"/>
      <c r="H569" s="34"/>
      <c r="I569" s="34"/>
      <c r="J569" s="93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>
      <c r="A570" s="34"/>
      <c r="B570" s="34"/>
      <c r="C570" s="34"/>
      <c r="D570" s="34"/>
      <c r="E570" s="34"/>
      <c r="F570" s="34"/>
      <c r="G570" s="34"/>
      <c r="H570" s="34"/>
      <c r="I570" s="34"/>
      <c r="J570" s="93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>
      <c r="A571" s="34"/>
      <c r="B571" s="34"/>
      <c r="C571" s="34"/>
      <c r="D571" s="34"/>
      <c r="E571" s="34"/>
      <c r="F571" s="34"/>
      <c r="G571" s="34"/>
      <c r="H571" s="34"/>
      <c r="I571" s="34"/>
      <c r="J571" s="93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>
      <c r="A572" s="34"/>
      <c r="B572" s="34"/>
      <c r="C572" s="34"/>
      <c r="D572" s="34"/>
      <c r="E572" s="34"/>
      <c r="F572" s="34"/>
      <c r="G572" s="34"/>
      <c r="H572" s="34"/>
      <c r="I572" s="34"/>
      <c r="J572" s="93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>
      <c r="A573" s="34"/>
      <c r="B573" s="34"/>
      <c r="C573" s="34"/>
      <c r="D573" s="34"/>
      <c r="E573" s="34"/>
      <c r="F573" s="34"/>
      <c r="G573" s="34"/>
      <c r="H573" s="34"/>
      <c r="I573" s="34"/>
      <c r="J573" s="93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>
      <c r="A574" s="34"/>
      <c r="B574" s="34"/>
      <c r="C574" s="34"/>
      <c r="D574" s="34"/>
      <c r="E574" s="34"/>
      <c r="F574" s="34"/>
      <c r="G574" s="34"/>
      <c r="H574" s="34"/>
      <c r="I574" s="34"/>
      <c r="J574" s="93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>
      <c r="A575" s="34"/>
      <c r="B575" s="34"/>
      <c r="C575" s="34"/>
      <c r="D575" s="34"/>
      <c r="E575" s="34"/>
      <c r="F575" s="34"/>
      <c r="G575" s="34"/>
      <c r="H575" s="34"/>
      <c r="I575" s="34"/>
      <c r="J575" s="93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>
      <c r="A576" s="34"/>
      <c r="B576" s="34"/>
      <c r="C576" s="34"/>
      <c r="D576" s="34"/>
      <c r="E576" s="34"/>
      <c r="F576" s="34"/>
      <c r="G576" s="34"/>
      <c r="H576" s="34"/>
      <c r="I576" s="34"/>
      <c r="J576" s="93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>
      <c r="A577" s="34"/>
      <c r="B577" s="34"/>
      <c r="C577" s="34"/>
      <c r="D577" s="34"/>
      <c r="E577" s="34"/>
      <c r="F577" s="34"/>
      <c r="G577" s="34"/>
      <c r="H577" s="34"/>
      <c r="I577" s="34"/>
      <c r="J577" s="93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>
      <c r="A578" s="34"/>
      <c r="B578" s="34"/>
      <c r="C578" s="34"/>
      <c r="D578" s="34"/>
      <c r="E578" s="34"/>
      <c r="F578" s="34"/>
      <c r="G578" s="34"/>
      <c r="H578" s="34"/>
      <c r="I578" s="34"/>
      <c r="J578" s="93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>
      <c r="A579" s="34"/>
      <c r="B579" s="34"/>
      <c r="C579" s="34"/>
      <c r="D579" s="34"/>
      <c r="E579" s="34"/>
      <c r="F579" s="34"/>
      <c r="G579" s="34"/>
      <c r="H579" s="34"/>
      <c r="I579" s="34"/>
      <c r="J579" s="93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>
      <c r="A580" s="34"/>
      <c r="B580" s="34"/>
      <c r="C580" s="34"/>
      <c r="D580" s="34"/>
      <c r="E580" s="34"/>
      <c r="F580" s="34"/>
      <c r="G580" s="34"/>
      <c r="H580" s="34"/>
      <c r="I580" s="34"/>
      <c r="J580" s="93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>
      <c r="A581" s="34"/>
      <c r="B581" s="34"/>
      <c r="C581" s="34"/>
      <c r="D581" s="34"/>
      <c r="E581" s="34"/>
      <c r="F581" s="34"/>
      <c r="G581" s="34"/>
      <c r="H581" s="34"/>
      <c r="I581" s="34"/>
      <c r="J581" s="93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>
      <c r="A582" s="34"/>
      <c r="B582" s="34"/>
      <c r="C582" s="34"/>
      <c r="D582" s="34"/>
      <c r="E582" s="34"/>
      <c r="F582" s="34"/>
      <c r="G582" s="34"/>
      <c r="H582" s="34"/>
      <c r="I582" s="34"/>
      <c r="J582" s="93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>
      <c r="A583" s="34"/>
      <c r="B583" s="34"/>
      <c r="C583" s="34"/>
      <c r="D583" s="34"/>
      <c r="E583" s="34"/>
      <c r="F583" s="34"/>
      <c r="G583" s="34"/>
      <c r="H583" s="34"/>
      <c r="I583" s="34"/>
      <c r="J583" s="93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>
      <c r="A584" s="34"/>
      <c r="B584" s="34"/>
      <c r="C584" s="34"/>
      <c r="D584" s="34"/>
      <c r="E584" s="34"/>
      <c r="F584" s="34"/>
      <c r="G584" s="34"/>
      <c r="H584" s="34"/>
      <c r="I584" s="34"/>
      <c r="J584" s="93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>
      <c r="A585" s="34"/>
      <c r="B585" s="34"/>
      <c r="C585" s="34"/>
      <c r="D585" s="34"/>
      <c r="E585" s="34"/>
      <c r="F585" s="34"/>
      <c r="G585" s="34"/>
      <c r="H585" s="34"/>
      <c r="I585" s="34"/>
      <c r="J585" s="93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>
      <c r="A586" s="34"/>
      <c r="B586" s="34"/>
      <c r="C586" s="34"/>
      <c r="D586" s="34"/>
      <c r="E586" s="34"/>
      <c r="F586" s="34"/>
      <c r="G586" s="34"/>
      <c r="H586" s="34"/>
      <c r="I586" s="34"/>
      <c r="J586" s="93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>
      <c r="A587" s="34"/>
      <c r="B587" s="34"/>
      <c r="C587" s="34"/>
      <c r="D587" s="34"/>
      <c r="E587" s="34"/>
      <c r="F587" s="34"/>
      <c r="G587" s="34"/>
      <c r="H587" s="34"/>
      <c r="I587" s="34"/>
      <c r="J587" s="93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>
      <c r="A588" s="34"/>
      <c r="B588" s="34"/>
      <c r="C588" s="34"/>
      <c r="D588" s="34"/>
      <c r="E588" s="34"/>
      <c r="F588" s="34"/>
      <c r="G588" s="34"/>
      <c r="H588" s="34"/>
      <c r="I588" s="34"/>
      <c r="J588" s="93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>
      <c r="A589" s="34"/>
      <c r="B589" s="34"/>
      <c r="C589" s="34"/>
      <c r="D589" s="34"/>
      <c r="E589" s="34"/>
      <c r="F589" s="34"/>
      <c r="G589" s="34"/>
      <c r="H589" s="34"/>
      <c r="I589" s="34"/>
      <c r="J589" s="93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>
      <c r="A590" s="34"/>
      <c r="B590" s="34"/>
      <c r="C590" s="34"/>
      <c r="D590" s="34"/>
      <c r="E590" s="34"/>
      <c r="F590" s="34"/>
      <c r="G590" s="34"/>
      <c r="H590" s="34"/>
      <c r="I590" s="34"/>
      <c r="J590" s="93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>
      <c r="A591" s="34"/>
      <c r="B591" s="34"/>
      <c r="C591" s="34"/>
      <c r="D591" s="34"/>
      <c r="E591" s="34"/>
      <c r="F591" s="34"/>
      <c r="G591" s="34"/>
      <c r="H591" s="34"/>
      <c r="I591" s="34"/>
      <c r="J591" s="93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>
      <c r="A592" s="34"/>
      <c r="B592" s="34"/>
      <c r="C592" s="34"/>
      <c r="D592" s="34"/>
      <c r="E592" s="34"/>
      <c r="F592" s="34"/>
      <c r="G592" s="34"/>
      <c r="H592" s="34"/>
      <c r="I592" s="34"/>
      <c r="J592" s="93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>
      <c r="A593" s="34"/>
      <c r="B593" s="34"/>
      <c r="C593" s="34"/>
      <c r="D593" s="34"/>
      <c r="E593" s="34"/>
      <c r="F593" s="34"/>
      <c r="G593" s="34"/>
      <c r="H593" s="34"/>
      <c r="I593" s="34"/>
      <c r="J593" s="93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>
      <c r="A594" s="34"/>
      <c r="B594" s="34"/>
      <c r="C594" s="34"/>
      <c r="D594" s="34"/>
      <c r="E594" s="34"/>
      <c r="F594" s="34"/>
      <c r="G594" s="34"/>
      <c r="H594" s="34"/>
      <c r="I594" s="34"/>
      <c r="J594" s="93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>
      <c r="A595" s="34"/>
      <c r="B595" s="34"/>
      <c r="C595" s="34"/>
      <c r="D595" s="34"/>
      <c r="E595" s="34"/>
      <c r="F595" s="34"/>
      <c r="G595" s="34"/>
      <c r="H595" s="34"/>
      <c r="I595" s="34"/>
      <c r="J595" s="93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>
      <c r="A596" s="34"/>
      <c r="B596" s="34"/>
      <c r="C596" s="34"/>
      <c r="D596" s="34"/>
      <c r="E596" s="34"/>
      <c r="F596" s="34"/>
      <c r="G596" s="34"/>
      <c r="H596" s="34"/>
      <c r="I596" s="34"/>
      <c r="J596" s="93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>
      <c r="A597" s="34"/>
      <c r="B597" s="34"/>
      <c r="C597" s="34"/>
      <c r="D597" s="34"/>
      <c r="E597" s="34"/>
      <c r="F597" s="34"/>
      <c r="G597" s="34"/>
      <c r="H597" s="34"/>
      <c r="I597" s="34"/>
      <c r="J597" s="93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>
      <c r="A598" s="34"/>
      <c r="B598" s="34"/>
      <c r="C598" s="34"/>
      <c r="D598" s="34"/>
      <c r="E598" s="34"/>
      <c r="F598" s="34"/>
      <c r="G598" s="34"/>
      <c r="H598" s="34"/>
      <c r="I598" s="34"/>
      <c r="J598" s="93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>
      <c r="A599" s="34"/>
      <c r="B599" s="34"/>
      <c r="C599" s="34"/>
      <c r="D599" s="34"/>
      <c r="E599" s="34"/>
      <c r="F599" s="34"/>
      <c r="G599" s="34"/>
      <c r="H599" s="34"/>
      <c r="I599" s="34"/>
      <c r="J599" s="93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>
      <c r="A600" s="34"/>
      <c r="B600" s="34"/>
      <c r="C600" s="34"/>
      <c r="D600" s="34"/>
      <c r="E600" s="34"/>
      <c r="F600" s="34"/>
      <c r="G600" s="34"/>
      <c r="H600" s="34"/>
      <c r="I600" s="34"/>
      <c r="J600" s="93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>
      <c r="A601" s="34"/>
      <c r="B601" s="34"/>
      <c r="C601" s="34"/>
      <c r="D601" s="34"/>
      <c r="E601" s="34"/>
      <c r="F601" s="34"/>
      <c r="G601" s="34"/>
      <c r="H601" s="34"/>
      <c r="I601" s="34"/>
      <c r="J601" s="93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>
      <c r="A602" s="34"/>
      <c r="B602" s="34"/>
      <c r="C602" s="34"/>
      <c r="D602" s="34"/>
      <c r="E602" s="34"/>
      <c r="F602" s="34"/>
      <c r="G602" s="34"/>
      <c r="H602" s="34"/>
      <c r="I602" s="34"/>
      <c r="J602" s="93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>
      <c r="A603" s="34"/>
      <c r="B603" s="34"/>
      <c r="C603" s="34"/>
      <c r="D603" s="34"/>
      <c r="E603" s="34"/>
      <c r="F603" s="34"/>
      <c r="G603" s="34"/>
      <c r="H603" s="34"/>
      <c r="I603" s="34"/>
      <c r="J603" s="93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>
      <c r="A604" s="34"/>
      <c r="B604" s="34"/>
      <c r="C604" s="34"/>
      <c r="D604" s="34"/>
      <c r="E604" s="34"/>
      <c r="F604" s="34"/>
      <c r="G604" s="34"/>
      <c r="H604" s="34"/>
      <c r="I604" s="34"/>
      <c r="J604" s="93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>
      <c r="A605" s="34"/>
      <c r="B605" s="34"/>
      <c r="C605" s="34"/>
      <c r="D605" s="34"/>
      <c r="E605" s="34"/>
      <c r="F605" s="34"/>
      <c r="G605" s="34"/>
      <c r="H605" s="34"/>
      <c r="I605" s="34"/>
      <c r="J605" s="93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>
      <c r="A606" s="34"/>
      <c r="B606" s="34"/>
      <c r="C606" s="34"/>
      <c r="D606" s="34"/>
      <c r="E606" s="34"/>
      <c r="F606" s="34"/>
      <c r="G606" s="34"/>
      <c r="H606" s="34"/>
      <c r="I606" s="34"/>
      <c r="J606" s="93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>
      <c r="A607" s="34"/>
      <c r="B607" s="34"/>
      <c r="C607" s="34"/>
      <c r="D607" s="34"/>
      <c r="E607" s="34"/>
      <c r="F607" s="34"/>
      <c r="G607" s="34"/>
      <c r="H607" s="34"/>
      <c r="I607" s="34"/>
      <c r="J607" s="93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>
      <c r="A608" s="34"/>
      <c r="B608" s="34"/>
      <c r="C608" s="34"/>
      <c r="D608" s="34"/>
      <c r="E608" s="34"/>
      <c r="F608" s="34"/>
      <c r="G608" s="34"/>
      <c r="H608" s="34"/>
      <c r="I608" s="34"/>
      <c r="J608" s="93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>
      <c r="A609" s="34"/>
      <c r="B609" s="34"/>
      <c r="C609" s="34"/>
      <c r="D609" s="34"/>
      <c r="E609" s="34"/>
      <c r="F609" s="34"/>
      <c r="G609" s="34"/>
      <c r="H609" s="34"/>
      <c r="I609" s="34"/>
      <c r="J609" s="93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>
      <c r="A610" s="34"/>
      <c r="B610" s="34"/>
      <c r="C610" s="34"/>
      <c r="D610" s="34"/>
      <c r="E610" s="34"/>
      <c r="F610" s="34"/>
      <c r="G610" s="34"/>
      <c r="H610" s="34"/>
      <c r="I610" s="34"/>
      <c r="J610" s="93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>
      <c r="A611" s="34"/>
      <c r="B611" s="34"/>
      <c r="C611" s="34"/>
      <c r="D611" s="34"/>
      <c r="E611" s="34"/>
      <c r="F611" s="34"/>
      <c r="G611" s="34"/>
      <c r="H611" s="34"/>
      <c r="I611" s="34"/>
      <c r="J611" s="93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>
      <c r="A612" s="34"/>
      <c r="B612" s="34"/>
      <c r="C612" s="34"/>
      <c r="D612" s="34"/>
      <c r="E612" s="34"/>
      <c r="F612" s="34"/>
      <c r="G612" s="34"/>
      <c r="H612" s="34"/>
      <c r="I612" s="34"/>
      <c r="J612" s="93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>
      <c r="A613" s="34"/>
      <c r="B613" s="34"/>
      <c r="C613" s="34"/>
      <c r="D613" s="34"/>
      <c r="E613" s="34"/>
      <c r="F613" s="34"/>
      <c r="G613" s="34"/>
      <c r="H613" s="34"/>
      <c r="I613" s="34"/>
      <c r="J613" s="93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>
      <c r="A614" s="34"/>
      <c r="B614" s="34"/>
      <c r="C614" s="34"/>
      <c r="D614" s="34"/>
      <c r="E614" s="34"/>
      <c r="F614" s="34"/>
      <c r="G614" s="34"/>
      <c r="H614" s="34"/>
      <c r="I614" s="34"/>
      <c r="J614" s="93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>
      <c r="A615" s="34"/>
      <c r="B615" s="34"/>
      <c r="C615" s="34"/>
      <c r="D615" s="34"/>
      <c r="E615" s="34"/>
      <c r="F615" s="34"/>
      <c r="G615" s="34"/>
      <c r="H615" s="34"/>
      <c r="I615" s="34"/>
      <c r="J615" s="93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>
      <c r="A616" s="34"/>
      <c r="B616" s="34"/>
      <c r="C616" s="34"/>
      <c r="D616" s="34"/>
      <c r="E616" s="34"/>
      <c r="F616" s="34"/>
      <c r="G616" s="34"/>
      <c r="H616" s="34"/>
      <c r="I616" s="34"/>
      <c r="J616" s="93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>
      <c r="A617" s="34"/>
      <c r="B617" s="34"/>
      <c r="C617" s="34"/>
      <c r="D617" s="34"/>
      <c r="E617" s="34"/>
      <c r="F617" s="34"/>
      <c r="G617" s="34"/>
      <c r="H617" s="34"/>
      <c r="I617" s="34"/>
      <c r="J617" s="93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>
      <c r="A618" s="34"/>
      <c r="B618" s="34"/>
      <c r="C618" s="34"/>
      <c r="D618" s="34"/>
      <c r="E618" s="34"/>
      <c r="F618" s="34"/>
      <c r="G618" s="34"/>
      <c r="H618" s="34"/>
      <c r="I618" s="34"/>
      <c r="J618" s="93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>
      <c r="A619" s="34"/>
      <c r="B619" s="34"/>
      <c r="C619" s="34"/>
      <c r="D619" s="34"/>
      <c r="E619" s="34"/>
      <c r="F619" s="34"/>
      <c r="G619" s="34"/>
      <c r="H619" s="34"/>
      <c r="I619" s="34"/>
      <c r="J619" s="93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>
      <c r="A620" s="34"/>
      <c r="B620" s="34"/>
      <c r="C620" s="34"/>
      <c r="D620" s="34"/>
      <c r="E620" s="34"/>
      <c r="F620" s="34"/>
      <c r="G620" s="34"/>
      <c r="H620" s="34"/>
      <c r="I620" s="34"/>
      <c r="J620" s="93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>
      <c r="A621" s="34"/>
      <c r="B621" s="34"/>
      <c r="C621" s="34"/>
      <c r="D621" s="34"/>
      <c r="E621" s="34"/>
      <c r="F621" s="34"/>
      <c r="G621" s="34"/>
      <c r="H621" s="34"/>
      <c r="I621" s="34"/>
      <c r="J621" s="93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>
      <c r="A622" s="34"/>
      <c r="B622" s="34"/>
      <c r="C622" s="34"/>
      <c r="D622" s="34"/>
      <c r="E622" s="34"/>
      <c r="F622" s="34"/>
      <c r="G622" s="34"/>
      <c r="H622" s="34"/>
      <c r="I622" s="34"/>
      <c r="J622" s="93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>
      <c r="A623" s="34"/>
      <c r="B623" s="34"/>
      <c r="C623" s="34"/>
      <c r="D623" s="34"/>
      <c r="E623" s="34"/>
      <c r="F623" s="34"/>
      <c r="G623" s="34"/>
      <c r="H623" s="34"/>
      <c r="I623" s="34"/>
      <c r="J623" s="93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>
      <c r="A624" s="34"/>
      <c r="B624" s="34"/>
      <c r="C624" s="34"/>
      <c r="D624" s="34"/>
      <c r="E624" s="34"/>
      <c r="F624" s="34"/>
      <c r="G624" s="34"/>
      <c r="H624" s="34"/>
      <c r="I624" s="34"/>
      <c r="J624" s="93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>
      <c r="A625" s="34"/>
      <c r="B625" s="34"/>
      <c r="C625" s="34"/>
      <c r="D625" s="34"/>
      <c r="E625" s="34"/>
      <c r="F625" s="34"/>
      <c r="G625" s="34"/>
      <c r="H625" s="34"/>
      <c r="I625" s="34"/>
      <c r="J625" s="93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>
      <c r="A626" s="34"/>
      <c r="B626" s="34"/>
      <c r="C626" s="34"/>
      <c r="D626" s="34"/>
      <c r="E626" s="34"/>
      <c r="F626" s="34"/>
      <c r="G626" s="34"/>
      <c r="H626" s="34"/>
      <c r="I626" s="34"/>
      <c r="J626" s="93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>
      <c r="A627" s="34"/>
      <c r="B627" s="34"/>
      <c r="C627" s="34"/>
      <c r="D627" s="34"/>
      <c r="E627" s="34"/>
      <c r="F627" s="34"/>
      <c r="G627" s="34"/>
      <c r="H627" s="34"/>
      <c r="I627" s="34"/>
      <c r="J627" s="93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>
      <c r="A628" s="34"/>
      <c r="B628" s="34"/>
      <c r="C628" s="34"/>
      <c r="D628" s="34"/>
      <c r="E628" s="34"/>
      <c r="F628" s="34"/>
      <c r="G628" s="34"/>
      <c r="H628" s="34"/>
      <c r="I628" s="34"/>
      <c r="J628" s="93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>
      <c r="A629" s="34"/>
      <c r="B629" s="34"/>
      <c r="C629" s="34"/>
      <c r="D629" s="34"/>
      <c r="E629" s="34"/>
      <c r="F629" s="34"/>
      <c r="G629" s="34"/>
      <c r="H629" s="34"/>
      <c r="I629" s="34"/>
      <c r="J629" s="93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>
      <c r="A630" s="34"/>
      <c r="B630" s="34"/>
      <c r="C630" s="34"/>
      <c r="D630" s="34"/>
      <c r="E630" s="34"/>
      <c r="F630" s="34"/>
      <c r="G630" s="34"/>
      <c r="H630" s="34"/>
      <c r="I630" s="34"/>
      <c r="J630" s="93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>
      <c r="A631" s="34"/>
      <c r="B631" s="34"/>
      <c r="C631" s="34"/>
      <c r="D631" s="34"/>
      <c r="E631" s="34"/>
      <c r="F631" s="34"/>
      <c r="G631" s="34"/>
      <c r="H631" s="34"/>
      <c r="I631" s="34"/>
      <c r="J631" s="93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>
      <c r="A632" s="34"/>
      <c r="B632" s="34"/>
      <c r="C632" s="34"/>
      <c r="D632" s="34"/>
      <c r="E632" s="34"/>
      <c r="F632" s="34"/>
      <c r="G632" s="34"/>
      <c r="H632" s="34"/>
      <c r="I632" s="34"/>
      <c r="J632" s="93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>
      <c r="A633" s="34"/>
      <c r="B633" s="34"/>
      <c r="C633" s="34"/>
      <c r="D633" s="34"/>
      <c r="E633" s="34"/>
      <c r="F633" s="34"/>
      <c r="G633" s="34"/>
      <c r="H633" s="34"/>
      <c r="I633" s="34"/>
      <c r="J633" s="93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>
      <c r="A634" s="34"/>
      <c r="B634" s="34"/>
      <c r="C634" s="34"/>
      <c r="D634" s="34"/>
      <c r="E634" s="34"/>
      <c r="F634" s="34"/>
      <c r="G634" s="34"/>
      <c r="H634" s="34"/>
      <c r="I634" s="34"/>
      <c r="J634" s="93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>
      <c r="A635" s="34"/>
      <c r="B635" s="34"/>
      <c r="C635" s="34"/>
      <c r="D635" s="34"/>
      <c r="E635" s="34"/>
      <c r="F635" s="34"/>
      <c r="G635" s="34"/>
      <c r="H635" s="34"/>
      <c r="I635" s="34"/>
      <c r="J635" s="93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>
      <c r="A636" s="34"/>
      <c r="B636" s="34"/>
      <c r="C636" s="34"/>
      <c r="D636" s="34"/>
      <c r="E636" s="34"/>
      <c r="F636" s="34"/>
      <c r="G636" s="34"/>
      <c r="H636" s="34"/>
      <c r="I636" s="34"/>
      <c r="J636" s="93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>
      <c r="A637" s="34"/>
      <c r="B637" s="34"/>
      <c r="C637" s="34"/>
      <c r="D637" s="34"/>
      <c r="E637" s="34"/>
      <c r="F637" s="34"/>
      <c r="G637" s="34"/>
      <c r="H637" s="34"/>
      <c r="I637" s="34"/>
      <c r="J637" s="93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>
      <c r="A638" s="34"/>
      <c r="B638" s="34"/>
      <c r="C638" s="34"/>
      <c r="D638" s="34"/>
      <c r="E638" s="34"/>
      <c r="F638" s="34"/>
      <c r="G638" s="34"/>
      <c r="H638" s="34"/>
      <c r="I638" s="34"/>
      <c r="J638" s="93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>
      <c r="A639" s="34"/>
      <c r="B639" s="34"/>
      <c r="C639" s="34"/>
      <c r="D639" s="34"/>
      <c r="E639" s="34"/>
      <c r="F639" s="34"/>
      <c r="G639" s="34"/>
      <c r="H639" s="34"/>
      <c r="I639" s="34"/>
      <c r="J639" s="93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>
      <c r="A640" s="34"/>
      <c r="B640" s="34"/>
      <c r="C640" s="34"/>
      <c r="D640" s="34"/>
      <c r="E640" s="34"/>
      <c r="F640" s="34"/>
      <c r="G640" s="34"/>
      <c r="H640" s="34"/>
      <c r="I640" s="34"/>
      <c r="J640" s="93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>
      <c r="A641" s="34"/>
      <c r="B641" s="34"/>
      <c r="C641" s="34"/>
      <c r="D641" s="34"/>
      <c r="E641" s="34"/>
      <c r="F641" s="34"/>
      <c r="G641" s="34"/>
      <c r="H641" s="34"/>
      <c r="I641" s="34"/>
      <c r="J641" s="93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>
      <c r="A642" s="34"/>
      <c r="B642" s="34"/>
      <c r="C642" s="34"/>
      <c r="D642" s="34"/>
      <c r="E642" s="34"/>
      <c r="F642" s="34"/>
      <c r="G642" s="34"/>
      <c r="H642" s="34"/>
      <c r="I642" s="34"/>
      <c r="J642" s="93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>
      <c r="A643" s="34"/>
      <c r="B643" s="34"/>
      <c r="C643" s="34"/>
      <c r="D643" s="34"/>
      <c r="E643" s="34"/>
      <c r="F643" s="34"/>
      <c r="G643" s="34"/>
      <c r="H643" s="34"/>
      <c r="I643" s="34"/>
      <c r="J643" s="93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>
      <c r="A644" s="34"/>
      <c r="B644" s="34"/>
      <c r="C644" s="34"/>
      <c r="D644" s="34"/>
      <c r="E644" s="34"/>
      <c r="F644" s="34"/>
      <c r="G644" s="34"/>
      <c r="H644" s="34"/>
      <c r="I644" s="34"/>
      <c r="J644" s="93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>
      <c r="A645" s="34"/>
      <c r="B645" s="34"/>
      <c r="C645" s="34"/>
      <c r="D645" s="34"/>
      <c r="E645" s="34"/>
      <c r="F645" s="34"/>
      <c r="G645" s="34"/>
      <c r="H645" s="34"/>
      <c r="I645" s="34"/>
      <c r="J645" s="93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>
      <c r="A646" s="34"/>
      <c r="B646" s="34"/>
      <c r="C646" s="34"/>
      <c r="D646" s="34"/>
      <c r="E646" s="34"/>
      <c r="F646" s="34"/>
      <c r="G646" s="34"/>
      <c r="H646" s="34"/>
      <c r="I646" s="34"/>
      <c r="J646" s="93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>
      <c r="A647" s="34"/>
      <c r="B647" s="34"/>
      <c r="C647" s="34"/>
      <c r="D647" s="34"/>
      <c r="E647" s="34"/>
      <c r="F647" s="34"/>
      <c r="G647" s="34"/>
      <c r="H647" s="34"/>
      <c r="I647" s="34"/>
      <c r="J647" s="93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>
      <c r="A648" s="34"/>
      <c r="B648" s="34"/>
      <c r="C648" s="34"/>
      <c r="D648" s="34"/>
      <c r="E648" s="34"/>
      <c r="F648" s="34"/>
      <c r="G648" s="34"/>
      <c r="H648" s="34"/>
      <c r="I648" s="34"/>
      <c r="J648" s="93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>
      <c r="A649" s="34"/>
      <c r="B649" s="34"/>
      <c r="C649" s="34"/>
      <c r="D649" s="34"/>
      <c r="E649" s="34"/>
      <c r="F649" s="34"/>
      <c r="G649" s="34"/>
      <c r="H649" s="34"/>
      <c r="I649" s="34"/>
      <c r="J649" s="93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>
      <c r="A650" s="34"/>
      <c r="B650" s="34"/>
      <c r="C650" s="34"/>
      <c r="D650" s="34"/>
      <c r="E650" s="34"/>
      <c r="F650" s="34"/>
      <c r="G650" s="34"/>
      <c r="H650" s="34"/>
      <c r="I650" s="34"/>
      <c r="J650" s="93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>
      <c r="A651" s="34"/>
      <c r="B651" s="34"/>
      <c r="C651" s="34"/>
      <c r="D651" s="34"/>
      <c r="E651" s="34"/>
      <c r="F651" s="34"/>
      <c r="G651" s="34"/>
      <c r="H651" s="34"/>
      <c r="I651" s="34"/>
      <c r="J651" s="93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>
      <c r="A652" s="34"/>
      <c r="B652" s="34"/>
      <c r="C652" s="34"/>
      <c r="D652" s="34"/>
      <c r="E652" s="34"/>
      <c r="F652" s="34"/>
      <c r="G652" s="34"/>
      <c r="H652" s="34"/>
      <c r="I652" s="34"/>
      <c r="J652" s="93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>
      <c r="A653" s="34"/>
      <c r="B653" s="34"/>
      <c r="C653" s="34"/>
      <c r="D653" s="34"/>
      <c r="E653" s="34"/>
      <c r="F653" s="34"/>
      <c r="G653" s="34"/>
      <c r="H653" s="34"/>
      <c r="I653" s="34"/>
      <c r="J653" s="93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>
      <c r="A654" s="34"/>
      <c r="B654" s="34"/>
      <c r="C654" s="34"/>
      <c r="D654" s="34"/>
      <c r="E654" s="34"/>
      <c r="F654" s="34"/>
      <c r="G654" s="34"/>
      <c r="H654" s="34"/>
      <c r="I654" s="34"/>
      <c r="J654" s="93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>
      <c r="A655" s="34"/>
      <c r="B655" s="34"/>
      <c r="C655" s="34"/>
      <c r="D655" s="34"/>
      <c r="E655" s="34"/>
      <c r="F655" s="34"/>
      <c r="G655" s="34"/>
      <c r="H655" s="34"/>
      <c r="I655" s="34"/>
      <c r="J655" s="93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>
      <c r="A656" s="34"/>
      <c r="B656" s="34"/>
      <c r="C656" s="34"/>
      <c r="D656" s="34"/>
      <c r="E656" s="34"/>
      <c r="F656" s="34"/>
      <c r="G656" s="34"/>
      <c r="H656" s="34"/>
      <c r="I656" s="34"/>
      <c r="J656" s="93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>
      <c r="A657" s="34"/>
      <c r="B657" s="34"/>
      <c r="C657" s="34"/>
      <c r="D657" s="34"/>
      <c r="E657" s="34"/>
      <c r="F657" s="34"/>
      <c r="G657" s="34"/>
      <c r="H657" s="34"/>
      <c r="I657" s="34"/>
      <c r="J657" s="93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>
      <c r="A658" s="34"/>
      <c r="B658" s="34"/>
      <c r="C658" s="34"/>
      <c r="D658" s="34"/>
      <c r="E658" s="34"/>
      <c r="F658" s="34"/>
      <c r="G658" s="34"/>
      <c r="H658" s="34"/>
      <c r="I658" s="34"/>
      <c r="J658" s="93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>
      <c r="A659" s="34"/>
      <c r="B659" s="34"/>
      <c r="C659" s="34"/>
      <c r="D659" s="34"/>
      <c r="E659" s="34"/>
      <c r="F659" s="34"/>
      <c r="G659" s="34"/>
      <c r="H659" s="34"/>
      <c r="I659" s="34"/>
      <c r="J659" s="93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>
      <c r="A660" s="34"/>
      <c r="B660" s="34"/>
      <c r="C660" s="34"/>
      <c r="D660" s="34"/>
      <c r="E660" s="34"/>
      <c r="F660" s="34"/>
      <c r="G660" s="34"/>
      <c r="H660" s="34"/>
      <c r="I660" s="34"/>
      <c r="J660" s="93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>
      <c r="A661" s="34"/>
      <c r="B661" s="34"/>
      <c r="C661" s="34"/>
      <c r="D661" s="34"/>
      <c r="E661" s="34"/>
      <c r="F661" s="34"/>
      <c r="G661" s="34"/>
      <c r="H661" s="34"/>
      <c r="I661" s="34"/>
      <c r="J661" s="93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>
      <c r="A662" s="34"/>
      <c r="B662" s="34"/>
      <c r="C662" s="34"/>
      <c r="D662" s="34"/>
      <c r="E662" s="34"/>
      <c r="F662" s="34"/>
      <c r="G662" s="34"/>
      <c r="H662" s="34"/>
      <c r="I662" s="34"/>
      <c r="J662" s="93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>
      <c r="A663" s="34"/>
      <c r="B663" s="34"/>
      <c r="C663" s="34"/>
      <c r="D663" s="34"/>
      <c r="E663" s="34"/>
      <c r="F663" s="34"/>
      <c r="G663" s="34"/>
      <c r="H663" s="34"/>
      <c r="I663" s="34"/>
      <c r="J663" s="93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>
      <c r="A664" s="34"/>
      <c r="B664" s="34"/>
      <c r="C664" s="34"/>
      <c r="D664" s="34"/>
      <c r="E664" s="34"/>
      <c r="F664" s="34"/>
      <c r="G664" s="34"/>
      <c r="H664" s="34"/>
      <c r="I664" s="34"/>
      <c r="J664" s="93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>
      <c r="A665" s="34"/>
      <c r="B665" s="34"/>
      <c r="C665" s="34"/>
      <c r="D665" s="34"/>
      <c r="E665" s="34"/>
      <c r="F665" s="34"/>
      <c r="G665" s="34"/>
      <c r="H665" s="34"/>
      <c r="I665" s="34"/>
      <c r="J665" s="93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>
      <c r="A666" s="34"/>
      <c r="B666" s="34"/>
      <c r="C666" s="34"/>
      <c r="D666" s="34"/>
      <c r="E666" s="34"/>
      <c r="F666" s="34"/>
      <c r="G666" s="34"/>
      <c r="H666" s="34"/>
      <c r="I666" s="34"/>
      <c r="J666" s="93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>
      <c r="A667" s="34"/>
      <c r="B667" s="34"/>
      <c r="C667" s="34"/>
      <c r="D667" s="34"/>
      <c r="E667" s="34"/>
      <c r="F667" s="34"/>
      <c r="G667" s="34"/>
      <c r="H667" s="34"/>
      <c r="I667" s="34"/>
      <c r="J667" s="93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>
      <c r="A668" s="34"/>
      <c r="B668" s="34"/>
      <c r="C668" s="34"/>
      <c r="D668" s="34"/>
      <c r="E668" s="34"/>
      <c r="F668" s="34"/>
      <c r="G668" s="34"/>
      <c r="H668" s="34"/>
      <c r="I668" s="34"/>
      <c r="J668" s="93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>
      <c r="A669" s="34"/>
      <c r="B669" s="34"/>
      <c r="C669" s="34"/>
      <c r="D669" s="34"/>
      <c r="E669" s="34"/>
      <c r="F669" s="34"/>
      <c r="G669" s="34"/>
      <c r="H669" s="34"/>
      <c r="I669" s="34"/>
      <c r="J669" s="93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>
      <c r="A670" s="34"/>
      <c r="B670" s="34"/>
      <c r="C670" s="34"/>
      <c r="D670" s="34"/>
      <c r="E670" s="34"/>
      <c r="F670" s="34"/>
      <c r="G670" s="34"/>
      <c r="H670" s="34"/>
      <c r="I670" s="34"/>
      <c r="J670" s="93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>
      <c r="A671" s="34"/>
      <c r="B671" s="34"/>
      <c r="C671" s="34"/>
      <c r="D671" s="34"/>
      <c r="E671" s="34"/>
      <c r="F671" s="34"/>
      <c r="G671" s="34"/>
      <c r="H671" s="34"/>
      <c r="I671" s="34"/>
      <c r="J671" s="93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>
      <c r="A672" s="34"/>
      <c r="B672" s="34"/>
      <c r="C672" s="34"/>
      <c r="D672" s="34"/>
      <c r="E672" s="34"/>
      <c r="F672" s="34"/>
      <c r="G672" s="34"/>
      <c r="H672" s="34"/>
      <c r="I672" s="34"/>
      <c r="J672" s="93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>
      <c r="A673" s="34"/>
      <c r="B673" s="34"/>
      <c r="C673" s="34"/>
      <c r="D673" s="34"/>
      <c r="E673" s="34"/>
      <c r="F673" s="34"/>
      <c r="G673" s="34"/>
      <c r="H673" s="34"/>
      <c r="I673" s="34"/>
      <c r="J673" s="93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>
      <c r="A674" s="34"/>
      <c r="B674" s="34"/>
      <c r="C674" s="34"/>
      <c r="D674" s="34"/>
      <c r="E674" s="34"/>
      <c r="F674" s="34"/>
      <c r="G674" s="34"/>
      <c r="H674" s="34"/>
      <c r="I674" s="34"/>
      <c r="J674" s="93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>
      <c r="A675" s="34"/>
      <c r="B675" s="34"/>
      <c r="C675" s="34"/>
      <c r="D675" s="34"/>
      <c r="E675" s="34"/>
      <c r="F675" s="34"/>
      <c r="G675" s="34"/>
      <c r="H675" s="34"/>
      <c r="I675" s="34"/>
      <c r="J675" s="93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>
      <c r="A676" s="34"/>
      <c r="B676" s="34"/>
      <c r="C676" s="34"/>
      <c r="D676" s="34"/>
      <c r="E676" s="34"/>
      <c r="F676" s="34"/>
      <c r="G676" s="34"/>
      <c r="H676" s="34"/>
      <c r="I676" s="34"/>
      <c r="J676" s="93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>
      <c r="A677" s="34"/>
      <c r="B677" s="34"/>
      <c r="C677" s="34"/>
      <c r="D677" s="34"/>
      <c r="E677" s="34"/>
      <c r="F677" s="34"/>
      <c r="G677" s="34"/>
      <c r="H677" s="34"/>
      <c r="I677" s="34"/>
      <c r="J677" s="93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>
      <c r="A678" s="34"/>
      <c r="B678" s="34"/>
      <c r="C678" s="34"/>
      <c r="D678" s="34"/>
      <c r="E678" s="34"/>
      <c r="F678" s="34"/>
      <c r="G678" s="34"/>
      <c r="H678" s="34"/>
      <c r="I678" s="34"/>
      <c r="J678" s="93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>
      <c r="A679" s="34"/>
      <c r="B679" s="34"/>
      <c r="C679" s="34"/>
      <c r="D679" s="34"/>
      <c r="E679" s="34"/>
      <c r="F679" s="34"/>
      <c r="G679" s="34"/>
      <c r="H679" s="34"/>
      <c r="I679" s="34"/>
      <c r="J679" s="93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>
      <c r="A680" s="34"/>
      <c r="B680" s="34"/>
      <c r="C680" s="34"/>
      <c r="D680" s="34"/>
      <c r="E680" s="34"/>
      <c r="F680" s="34"/>
      <c r="G680" s="34"/>
      <c r="H680" s="34"/>
      <c r="I680" s="34"/>
      <c r="J680" s="93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>
      <c r="A681" s="34"/>
      <c r="B681" s="34"/>
      <c r="C681" s="34"/>
      <c r="D681" s="34"/>
      <c r="E681" s="34"/>
      <c r="F681" s="34"/>
      <c r="G681" s="34"/>
      <c r="H681" s="34"/>
      <c r="I681" s="34"/>
      <c r="J681" s="93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>
      <c r="A682" s="34"/>
      <c r="B682" s="34"/>
      <c r="C682" s="34"/>
      <c r="D682" s="34"/>
      <c r="E682" s="34"/>
      <c r="F682" s="34"/>
      <c r="G682" s="34"/>
      <c r="H682" s="34"/>
      <c r="I682" s="34"/>
      <c r="J682" s="93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>
      <c r="A683" s="34"/>
      <c r="B683" s="34"/>
      <c r="C683" s="34"/>
      <c r="D683" s="34"/>
      <c r="E683" s="34"/>
      <c r="F683" s="34"/>
      <c r="G683" s="34"/>
      <c r="H683" s="34"/>
      <c r="I683" s="34"/>
      <c r="J683" s="93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>
      <c r="A684" s="34"/>
      <c r="B684" s="34"/>
      <c r="C684" s="34"/>
      <c r="D684" s="34"/>
      <c r="E684" s="34"/>
      <c r="F684" s="34"/>
      <c r="G684" s="34"/>
      <c r="H684" s="34"/>
      <c r="I684" s="34"/>
      <c r="J684" s="93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>
      <c r="A685" s="34"/>
      <c r="B685" s="34"/>
      <c r="C685" s="34"/>
      <c r="D685" s="34"/>
      <c r="E685" s="34"/>
      <c r="F685" s="34"/>
      <c r="G685" s="34"/>
      <c r="H685" s="34"/>
      <c r="I685" s="34"/>
      <c r="J685" s="93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>
      <c r="A686" s="34"/>
      <c r="B686" s="34"/>
      <c r="C686" s="34"/>
      <c r="D686" s="34"/>
      <c r="E686" s="34"/>
      <c r="F686" s="34"/>
      <c r="G686" s="34"/>
      <c r="H686" s="34"/>
      <c r="I686" s="34"/>
      <c r="J686" s="93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>
      <c r="A687" s="34"/>
      <c r="B687" s="34"/>
      <c r="C687" s="34"/>
      <c r="D687" s="34"/>
      <c r="E687" s="34"/>
      <c r="F687" s="34"/>
      <c r="G687" s="34"/>
      <c r="H687" s="34"/>
      <c r="I687" s="34"/>
      <c r="J687" s="93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>
      <c r="A688" s="34"/>
      <c r="B688" s="34"/>
      <c r="C688" s="34"/>
      <c r="D688" s="34"/>
      <c r="E688" s="34"/>
      <c r="F688" s="34"/>
      <c r="G688" s="34"/>
      <c r="H688" s="34"/>
      <c r="I688" s="34"/>
      <c r="J688" s="93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>
      <c r="A689" s="34"/>
      <c r="B689" s="34"/>
      <c r="C689" s="34"/>
      <c r="D689" s="34"/>
      <c r="E689" s="34"/>
      <c r="F689" s="34"/>
      <c r="G689" s="34"/>
      <c r="H689" s="34"/>
      <c r="I689" s="34"/>
      <c r="J689" s="93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>
      <c r="A690" s="34"/>
      <c r="B690" s="34"/>
      <c r="C690" s="34"/>
      <c r="D690" s="34"/>
      <c r="E690" s="34"/>
      <c r="F690" s="34"/>
      <c r="G690" s="34"/>
      <c r="H690" s="34"/>
      <c r="I690" s="34"/>
      <c r="J690" s="93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>
      <c r="A691" s="34"/>
      <c r="B691" s="34"/>
      <c r="C691" s="34"/>
      <c r="D691" s="34"/>
      <c r="E691" s="34"/>
      <c r="F691" s="34"/>
      <c r="G691" s="34"/>
      <c r="H691" s="34"/>
      <c r="I691" s="34"/>
      <c r="J691" s="93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>
      <c r="A692" s="34"/>
      <c r="B692" s="34"/>
      <c r="C692" s="34"/>
      <c r="D692" s="34"/>
      <c r="E692" s="34"/>
      <c r="F692" s="34"/>
      <c r="G692" s="34"/>
      <c r="H692" s="34"/>
      <c r="I692" s="34"/>
      <c r="J692" s="93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>
      <c r="A693" s="34"/>
      <c r="B693" s="34"/>
      <c r="C693" s="34"/>
      <c r="D693" s="34"/>
      <c r="E693" s="34"/>
      <c r="F693" s="34"/>
      <c r="G693" s="34"/>
      <c r="H693" s="34"/>
      <c r="I693" s="34"/>
      <c r="J693" s="93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>
      <c r="A694" s="34"/>
      <c r="B694" s="34"/>
      <c r="C694" s="34"/>
      <c r="D694" s="34"/>
      <c r="E694" s="34"/>
      <c r="F694" s="34"/>
      <c r="G694" s="34"/>
      <c r="H694" s="34"/>
      <c r="I694" s="34"/>
      <c r="J694" s="93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>
      <c r="A695" s="34"/>
      <c r="B695" s="34"/>
      <c r="C695" s="34"/>
      <c r="D695" s="34"/>
      <c r="E695" s="34"/>
      <c r="F695" s="34"/>
      <c r="G695" s="34"/>
      <c r="H695" s="34"/>
      <c r="I695" s="34"/>
      <c r="J695" s="93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>
      <c r="A696" s="34"/>
      <c r="B696" s="34"/>
      <c r="C696" s="34"/>
      <c r="D696" s="34"/>
      <c r="E696" s="34"/>
      <c r="F696" s="34"/>
      <c r="G696" s="34"/>
      <c r="H696" s="34"/>
      <c r="I696" s="34"/>
      <c r="J696" s="93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>
      <c r="A697" s="34"/>
      <c r="B697" s="34"/>
      <c r="C697" s="34"/>
      <c r="D697" s="34"/>
      <c r="E697" s="34"/>
      <c r="F697" s="34"/>
      <c r="G697" s="34"/>
      <c r="H697" s="34"/>
      <c r="I697" s="34"/>
      <c r="J697" s="93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>
      <c r="A698" s="34"/>
      <c r="B698" s="34"/>
      <c r="C698" s="34"/>
      <c r="D698" s="34"/>
      <c r="E698" s="34"/>
      <c r="F698" s="34"/>
      <c r="G698" s="34"/>
      <c r="H698" s="34"/>
      <c r="I698" s="34"/>
      <c r="J698" s="93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>
      <c r="A699" s="34"/>
      <c r="B699" s="34"/>
      <c r="C699" s="34"/>
      <c r="D699" s="34"/>
      <c r="E699" s="34"/>
      <c r="F699" s="34"/>
      <c r="G699" s="34"/>
      <c r="H699" s="34"/>
      <c r="I699" s="34"/>
      <c r="J699" s="93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>
      <c r="A700" s="34"/>
      <c r="B700" s="34"/>
      <c r="C700" s="34"/>
      <c r="D700" s="34"/>
      <c r="E700" s="34"/>
      <c r="F700" s="34"/>
      <c r="G700" s="34"/>
      <c r="H700" s="34"/>
      <c r="I700" s="34"/>
      <c r="J700" s="93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>
      <c r="A701" s="34"/>
      <c r="B701" s="34"/>
      <c r="C701" s="34"/>
      <c r="D701" s="34"/>
      <c r="E701" s="34"/>
      <c r="F701" s="34"/>
      <c r="G701" s="34"/>
      <c r="H701" s="34"/>
      <c r="I701" s="34"/>
      <c r="J701" s="93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>
      <c r="A702" s="34"/>
      <c r="B702" s="34"/>
      <c r="C702" s="34"/>
      <c r="D702" s="34"/>
      <c r="E702" s="34"/>
      <c r="F702" s="34"/>
      <c r="G702" s="34"/>
      <c r="H702" s="34"/>
      <c r="I702" s="34"/>
      <c r="J702" s="93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>
      <c r="A703" s="34"/>
      <c r="B703" s="34"/>
      <c r="C703" s="34"/>
      <c r="D703" s="34"/>
      <c r="E703" s="34"/>
      <c r="F703" s="34"/>
      <c r="G703" s="34"/>
      <c r="H703" s="34"/>
      <c r="I703" s="34"/>
      <c r="J703" s="93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>
      <c r="A704" s="34"/>
      <c r="B704" s="34"/>
      <c r="C704" s="34"/>
      <c r="D704" s="34"/>
      <c r="E704" s="34"/>
      <c r="F704" s="34"/>
      <c r="G704" s="34"/>
      <c r="H704" s="34"/>
      <c r="I704" s="34"/>
      <c r="J704" s="93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>
      <c r="A705" s="34"/>
      <c r="B705" s="34"/>
      <c r="C705" s="34"/>
      <c r="D705" s="34"/>
      <c r="E705" s="34"/>
      <c r="F705" s="34"/>
      <c r="G705" s="34"/>
      <c r="H705" s="34"/>
      <c r="I705" s="34"/>
      <c r="J705" s="93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>
      <c r="A706" s="34"/>
      <c r="B706" s="34"/>
      <c r="C706" s="34"/>
      <c r="D706" s="34"/>
      <c r="E706" s="34"/>
      <c r="F706" s="34"/>
      <c r="G706" s="34"/>
      <c r="H706" s="34"/>
      <c r="I706" s="34"/>
      <c r="J706" s="93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>
      <c r="A707" s="34"/>
      <c r="B707" s="34"/>
      <c r="C707" s="34"/>
      <c r="D707" s="34"/>
      <c r="E707" s="34"/>
      <c r="F707" s="34"/>
      <c r="G707" s="34"/>
      <c r="H707" s="34"/>
      <c r="I707" s="34"/>
      <c r="J707" s="93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>
      <c r="A708" s="34"/>
      <c r="B708" s="34"/>
      <c r="C708" s="34"/>
      <c r="D708" s="34"/>
      <c r="E708" s="34"/>
      <c r="F708" s="34"/>
      <c r="G708" s="34"/>
      <c r="H708" s="34"/>
      <c r="I708" s="34"/>
      <c r="J708" s="93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>
      <c r="A709" s="34"/>
      <c r="B709" s="34"/>
      <c r="C709" s="34"/>
      <c r="D709" s="34"/>
      <c r="E709" s="34"/>
      <c r="F709" s="34"/>
      <c r="G709" s="34"/>
      <c r="H709" s="34"/>
      <c r="I709" s="34"/>
      <c r="J709" s="93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>
      <c r="A710" s="34"/>
      <c r="B710" s="34"/>
      <c r="C710" s="34"/>
      <c r="D710" s="34"/>
      <c r="E710" s="34"/>
      <c r="F710" s="34"/>
      <c r="G710" s="34"/>
      <c r="H710" s="34"/>
      <c r="I710" s="34"/>
      <c r="J710" s="93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>
      <c r="A711" s="34"/>
      <c r="B711" s="34"/>
      <c r="C711" s="34"/>
      <c r="D711" s="34"/>
      <c r="E711" s="34"/>
      <c r="F711" s="34"/>
      <c r="G711" s="34"/>
      <c r="H711" s="34"/>
      <c r="I711" s="34"/>
      <c r="J711" s="93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>
      <c r="A712" s="34"/>
      <c r="B712" s="34"/>
      <c r="C712" s="34"/>
      <c r="D712" s="34"/>
      <c r="E712" s="34"/>
      <c r="F712" s="34"/>
      <c r="G712" s="34"/>
      <c r="H712" s="34"/>
      <c r="I712" s="34"/>
      <c r="J712" s="93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>
      <c r="A713" s="34"/>
      <c r="B713" s="34"/>
      <c r="C713" s="34"/>
      <c r="D713" s="34"/>
      <c r="E713" s="34"/>
      <c r="F713" s="34"/>
      <c r="G713" s="34"/>
      <c r="H713" s="34"/>
      <c r="I713" s="34"/>
      <c r="J713" s="93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>
      <c r="A714" s="34"/>
      <c r="B714" s="34"/>
      <c r="C714" s="34"/>
      <c r="D714" s="34"/>
      <c r="E714" s="34"/>
      <c r="F714" s="34"/>
      <c r="G714" s="34"/>
      <c r="H714" s="34"/>
      <c r="I714" s="34"/>
      <c r="J714" s="93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>
      <c r="A715" s="34"/>
      <c r="B715" s="34"/>
      <c r="C715" s="34"/>
      <c r="D715" s="34"/>
      <c r="E715" s="34"/>
      <c r="F715" s="34"/>
      <c r="G715" s="34"/>
      <c r="H715" s="34"/>
      <c r="I715" s="34"/>
      <c r="J715" s="93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>
      <c r="A716" s="34"/>
      <c r="B716" s="34"/>
      <c r="C716" s="34"/>
      <c r="D716" s="34"/>
      <c r="E716" s="34"/>
      <c r="F716" s="34"/>
      <c r="G716" s="34"/>
      <c r="H716" s="34"/>
      <c r="I716" s="34"/>
      <c r="J716" s="93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>
      <c r="A717" s="34"/>
      <c r="B717" s="34"/>
      <c r="C717" s="34"/>
      <c r="D717" s="34"/>
      <c r="E717" s="34"/>
      <c r="F717" s="34"/>
      <c r="G717" s="34"/>
      <c r="H717" s="34"/>
      <c r="I717" s="34"/>
      <c r="J717" s="93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>
      <c r="A718" s="34"/>
      <c r="B718" s="34"/>
      <c r="C718" s="34"/>
      <c r="D718" s="34"/>
      <c r="E718" s="34"/>
      <c r="F718" s="34"/>
      <c r="G718" s="34"/>
      <c r="H718" s="34"/>
      <c r="I718" s="34"/>
      <c r="J718" s="93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>
      <c r="A719" s="34"/>
      <c r="B719" s="34"/>
      <c r="C719" s="34"/>
      <c r="D719" s="34"/>
      <c r="E719" s="34"/>
      <c r="F719" s="34"/>
      <c r="G719" s="34"/>
      <c r="H719" s="34"/>
      <c r="I719" s="34"/>
      <c r="J719" s="93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>
      <c r="A720" s="34"/>
      <c r="B720" s="34"/>
      <c r="C720" s="34"/>
      <c r="D720" s="34"/>
      <c r="E720" s="34"/>
      <c r="F720" s="34"/>
      <c r="G720" s="34"/>
      <c r="H720" s="34"/>
      <c r="I720" s="34"/>
      <c r="J720" s="93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>
      <c r="A721" s="34"/>
      <c r="B721" s="34"/>
      <c r="C721" s="34"/>
      <c r="D721" s="34"/>
      <c r="E721" s="34"/>
      <c r="F721" s="34"/>
      <c r="G721" s="34"/>
      <c r="H721" s="34"/>
      <c r="I721" s="34"/>
      <c r="J721" s="93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>
      <c r="A722" s="34"/>
      <c r="B722" s="34"/>
      <c r="C722" s="34"/>
      <c r="D722" s="34"/>
      <c r="E722" s="34"/>
      <c r="F722" s="34"/>
      <c r="G722" s="34"/>
      <c r="H722" s="34"/>
      <c r="I722" s="34"/>
      <c r="J722" s="93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>
      <c r="A723" s="34"/>
      <c r="B723" s="34"/>
      <c r="C723" s="34"/>
      <c r="D723" s="34"/>
      <c r="E723" s="34"/>
      <c r="F723" s="34"/>
      <c r="G723" s="34"/>
      <c r="H723" s="34"/>
      <c r="I723" s="34"/>
      <c r="J723" s="93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>
      <c r="A724" s="34"/>
      <c r="B724" s="34"/>
      <c r="C724" s="34"/>
      <c r="D724" s="34"/>
      <c r="E724" s="34"/>
      <c r="F724" s="34"/>
      <c r="G724" s="34"/>
      <c r="H724" s="34"/>
      <c r="I724" s="34"/>
      <c r="J724" s="93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>
      <c r="A725" s="34"/>
      <c r="B725" s="34"/>
      <c r="C725" s="34"/>
      <c r="D725" s="34"/>
      <c r="E725" s="34"/>
      <c r="F725" s="34"/>
      <c r="G725" s="34"/>
      <c r="H725" s="34"/>
      <c r="I725" s="34"/>
      <c r="J725" s="93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>
      <c r="A726" s="34"/>
      <c r="B726" s="34"/>
      <c r="C726" s="34"/>
      <c r="D726" s="34"/>
      <c r="E726" s="34"/>
      <c r="F726" s="34"/>
      <c r="G726" s="34"/>
      <c r="H726" s="34"/>
      <c r="I726" s="34"/>
      <c r="J726" s="93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>
      <c r="A727" s="34"/>
      <c r="B727" s="34"/>
      <c r="C727" s="34"/>
      <c r="D727" s="34"/>
      <c r="E727" s="34"/>
      <c r="F727" s="34"/>
      <c r="G727" s="34"/>
      <c r="H727" s="34"/>
      <c r="I727" s="34"/>
      <c r="J727" s="93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>
      <c r="A728" s="34"/>
      <c r="B728" s="34"/>
      <c r="C728" s="34"/>
      <c r="D728" s="34"/>
      <c r="E728" s="34"/>
      <c r="F728" s="34"/>
      <c r="G728" s="34"/>
      <c r="H728" s="34"/>
      <c r="I728" s="34"/>
      <c r="J728" s="93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>
      <c r="A729" s="34"/>
      <c r="B729" s="34"/>
      <c r="C729" s="34"/>
      <c r="D729" s="34"/>
      <c r="E729" s="34"/>
      <c r="F729" s="34"/>
      <c r="G729" s="34"/>
      <c r="H729" s="34"/>
      <c r="I729" s="34"/>
      <c r="J729" s="93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>
      <c r="A730" s="34"/>
      <c r="B730" s="34"/>
      <c r="C730" s="34"/>
      <c r="D730" s="34"/>
      <c r="E730" s="34"/>
      <c r="F730" s="34"/>
      <c r="G730" s="34"/>
      <c r="H730" s="34"/>
      <c r="I730" s="34"/>
      <c r="J730" s="93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>
      <c r="A731" s="34"/>
      <c r="B731" s="34"/>
      <c r="C731" s="34"/>
      <c r="D731" s="34"/>
      <c r="E731" s="34"/>
      <c r="F731" s="34"/>
      <c r="G731" s="34"/>
      <c r="H731" s="34"/>
      <c r="I731" s="34"/>
      <c r="J731" s="93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>
      <c r="A732" s="34"/>
      <c r="B732" s="34"/>
      <c r="C732" s="34"/>
      <c r="D732" s="34"/>
      <c r="E732" s="34"/>
      <c r="F732" s="34"/>
      <c r="G732" s="34"/>
      <c r="H732" s="34"/>
      <c r="I732" s="34"/>
      <c r="J732" s="93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>
      <c r="A733" s="34"/>
      <c r="B733" s="34"/>
      <c r="C733" s="34"/>
      <c r="D733" s="34"/>
      <c r="E733" s="34"/>
      <c r="F733" s="34"/>
      <c r="G733" s="34"/>
      <c r="H733" s="34"/>
      <c r="I733" s="34"/>
      <c r="J733" s="93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>
      <c r="A734" s="34"/>
      <c r="B734" s="34"/>
      <c r="C734" s="34"/>
      <c r="D734" s="34"/>
      <c r="E734" s="34"/>
      <c r="F734" s="34"/>
      <c r="G734" s="34"/>
      <c r="H734" s="34"/>
      <c r="I734" s="34"/>
      <c r="J734" s="93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>
      <c r="A735" s="34"/>
      <c r="B735" s="34"/>
      <c r="C735" s="34"/>
      <c r="D735" s="34"/>
      <c r="E735" s="34"/>
      <c r="F735" s="34"/>
      <c r="G735" s="34"/>
      <c r="H735" s="34"/>
      <c r="I735" s="34"/>
      <c r="J735" s="93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>
      <c r="A736" s="34"/>
      <c r="B736" s="34"/>
      <c r="C736" s="34"/>
      <c r="D736" s="34"/>
      <c r="E736" s="34"/>
      <c r="F736" s="34"/>
      <c r="G736" s="34"/>
      <c r="H736" s="34"/>
      <c r="I736" s="34"/>
      <c r="J736" s="93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>
      <c r="A737" s="34"/>
      <c r="B737" s="34"/>
      <c r="C737" s="34"/>
      <c r="D737" s="34"/>
      <c r="E737" s="34"/>
      <c r="F737" s="34"/>
      <c r="G737" s="34"/>
      <c r="H737" s="34"/>
      <c r="I737" s="34"/>
      <c r="J737" s="93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>
      <c r="A738" s="34"/>
      <c r="B738" s="34"/>
      <c r="C738" s="34"/>
      <c r="D738" s="34"/>
      <c r="E738" s="34"/>
      <c r="F738" s="34"/>
      <c r="G738" s="34"/>
      <c r="H738" s="34"/>
      <c r="I738" s="34"/>
      <c r="J738" s="93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>
      <c r="A739" s="34"/>
      <c r="B739" s="34"/>
      <c r="C739" s="34"/>
      <c r="D739" s="34"/>
      <c r="E739" s="34"/>
      <c r="F739" s="34"/>
      <c r="G739" s="34"/>
      <c r="H739" s="34"/>
      <c r="I739" s="34"/>
      <c r="J739" s="93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>
      <c r="A740" s="34"/>
      <c r="B740" s="34"/>
      <c r="C740" s="34"/>
      <c r="D740" s="34"/>
      <c r="E740" s="34"/>
      <c r="F740" s="34"/>
      <c r="G740" s="34"/>
      <c r="H740" s="34"/>
      <c r="I740" s="34"/>
      <c r="J740" s="93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>
      <c r="A741" s="34"/>
      <c r="B741" s="34"/>
      <c r="C741" s="34"/>
      <c r="D741" s="34"/>
      <c r="E741" s="34"/>
      <c r="F741" s="34"/>
      <c r="G741" s="34"/>
      <c r="H741" s="34"/>
      <c r="I741" s="34"/>
      <c r="J741" s="93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>
      <c r="A742" s="34"/>
      <c r="B742" s="34"/>
      <c r="C742" s="34"/>
      <c r="D742" s="34"/>
      <c r="E742" s="34"/>
      <c r="F742" s="34"/>
      <c r="G742" s="34"/>
      <c r="H742" s="34"/>
      <c r="I742" s="34"/>
      <c r="J742" s="93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>
      <c r="A743" s="34"/>
      <c r="B743" s="34"/>
      <c r="C743" s="34"/>
      <c r="D743" s="34"/>
      <c r="E743" s="34"/>
      <c r="F743" s="34"/>
      <c r="G743" s="34"/>
      <c r="H743" s="34"/>
      <c r="I743" s="34"/>
      <c r="J743" s="93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>
      <c r="A744" s="34"/>
      <c r="B744" s="34"/>
      <c r="C744" s="34"/>
      <c r="D744" s="34"/>
      <c r="E744" s="34"/>
      <c r="F744" s="34"/>
      <c r="G744" s="34"/>
      <c r="H744" s="34"/>
      <c r="I744" s="34"/>
      <c r="J744" s="93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>
      <c r="A745" s="34"/>
      <c r="B745" s="34"/>
      <c r="C745" s="34"/>
      <c r="D745" s="34"/>
      <c r="E745" s="34"/>
      <c r="F745" s="34"/>
      <c r="G745" s="34"/>
      <c r="H745" s="34"/>
      <c r="I745" s="34"/>
      <c r="J745" s="93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>
      <c r="A746" s="34"/>
      <c r="B746" s="34"/>
      <c r="C746" s="34"/>
      <c r="D746" s="34"/>
      <c r="E746" s="34"/>
      <c r="F746" s="34"/>
      <c r="G746" s="34"/>
      <c r="H746" s="34"/>
      <c r="I746" s="34"/>
      <c r="J746" s="93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>
      <c r="A747" s="34"/>
      <c r="B747" s="34"/>
      <c r="C747" s="34"/>
      <c r="D747" s="34"/>
      <c r="E747" s="34"/>
      <c r="F747" s="34"/>
      <c r="G747" s="34"/>
      <c r="H747" s="34"/>
      <c r="I747" s="34"/>
      <c r="J747" s="93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>
      <c r="A748" s="34"/>
      <c r="B748" s="34"/>
      <c r="C748" s="34"/>
      <c r="D748" s="34"/>
      <c r="E748" s="34"/>
      <c r="F748" s="34"/>
      <c r="G748" s="34"/>
      <c r="H748" s="34"/>
      <c r="I748" s="34"/>
      <c r="J748" s="93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>
      <c r="A749" s="34"/>
      <c r="B749" s="34"/>
      <c r="C749" s="34"/>
      <c r="D749" s="34"/>
      <c r="E749" s="34"/>
      <c r="F749" s="34"/>
      <c r="G749" s="34"/>
      <c r="H749" s="34"/>
      <c r="I749" s="34"/>
      <c r="J749" s="93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>
      <c r="A750" s="34"/>
      <c r="B750" s="34"/>
      <c r="C750" s="34"/>
      <c r="D750" s="34"/>
      <c r="E750" s="34"/>
      <c r="F750" s="34"/>
      <c r="G750" s="34"/>
      <c r="H750" s="34"/>
      <c r="I750" s="34"/>
      <c r="J750" s="93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>
      <c r="A751" s="34"/>
      <c r="B751" s="34"/>
      <c r="C751" s="34"/>
      <c r="D751" s="34"/>
      <c r="E751" s="34"/>
      <c r="F751" s="34"/>
      <c r="G751" s="34"/>
      <c r="H751" s="34"/>
      <c r="I751" s="34"/>
      <c r="J751" s="93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>
      <c r="A752" s="34"/>
      <c r="B752" s="34"/>
      <c r="C752" s="34"/>
      <c r="D752" s="34"/>
      <c r="E752" s="34"/>
      <c r="F752" s="34"/>
      <c r="G752" s="34"/>
      <c r="H752" s="34"/>
      <c r="I752" s="34"/>
      <c r="J752" s="93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>
      <c r="A753" s="34"/>
      <c r="B753" s="34"/>
      <c r="C753" s="34"/>
      <c r="D753" s="34"/>
      <c r="E753" s="34"/>
      <c r="F753" s="34"/>
      <c r="G753" s="34"/>
      <c r="H753" s="34"/>
      <c r="I753" s="34"/>
      <c r="J753" s="93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>
      <c r="A754" s="34"/>
      <c r="B754" s="34"/>
      <c r="C754" s="34"/>
      <c r="D754" s="34"/>
      <c r="E754" s="34"/>
      <c r="F754" s="34"/>
      <c r="G754" s="34"/>
      <c r="H754" s="34"/>
      <c r="I754" s="34"/>
      <c r="J754" s="93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>
      <c r="A755" s="34"/>
      <c r="B755" s="34"/>
      <c r="C755" s="34"/>
      <c r="D755" s="34"/>
      <c r="E755" s="34"/>
      <c r="F755" s="34"/>
      <c r="G755" s="34"/>
      <c r="H755" s="34"/>
      <c r="I755" s="34"/>
      <c r="J755" s="93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>
      <c r="A756" s="34"/>
      <c r="B756" s="34"/>
      <c r="C756" s="34"/>
      <c r="D756" s="34"/>
      <c r="E756" s="34"/>
      <c r="F756" s="34"/>
      <c r="G756" s="34"/>
      <c r="H756" s="34"/>
      <c r="I756" s="34"/>
      <c r="J756" s="93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>
      <c r="A757" s="34"/>
      <c r="B757" s="34"/>
      <c r="C757" s="34"/>
      <c r="D757" s="34"/>
      <c r="E757" s="34"/>
      <c r="F757" s="34"/>
      <c r="G757" s="34"/>
      <c r="H757" s="34"/>
      <c r="I757" s="34"/>
      <c r="J757" s="93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>
      <c r="A758" s="34"/>
      <c r="B758" s="34"/>
      <c r="C758" s="34"/>
      <c r="D758" s="34"/>
      <c r="E758" s="34"/>
      <c r="F758" s="34"/>
      <c r="G758" s="34"/>
      <c r="H758" s="34"/>
      <c r="I758" s="34"/>
      <c r="J758" s="93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>
      <c r="A759" s="34"/>
      <c r="B759" s="34"/>
      <c r="C759" s="34"/>
      <c r="D759" s="34"/>
      <c r="E759" s="34"/>
      <c r="F759" s="34"/>
      <c r="G759" s="34"/>
      <c r="H759" s="34"/>
      <c r="I759" s="34"/>
      <c r="J759" s="93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>
      <c r="A760" s="34"/>
      <c r="B760" s="34"/>
      <c r="C760" s="34"/>
      <c r="D760" s="34"/>
      <c r="E760" s="34"/>
      <c r="F760" s="34"/>
      <c r="G760" s="34"/>
      <c r="H760" s="34"/>
      <c r="I760" s="34"/>
      <c r="J760" s="93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>
      <c r="A761" s="34"/>
      <c r="B761" s="34"/>
      <c r="C761" s="34"/>
      <c r="D761" s="34"/>
      <c r="E761" s="34"/>
      <c r="F761" s="34"/>
      <c r="G761" s="34"/>
      <c r="H761" s="34"/>
      <c r="I761" s="34"/>
      <c r="J761" s="93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>
      <c r="A762" s="34"/>
      <c r="B762" s="34"/>
      <c r="C762" s="34"/>
      <c r="D762" s="34"/>
      <c r="E762" s="34"/>
      <c r="F762" s="34"/>
      <c r="G762" s="34"/>
      <c r="H762" s="34"/>
      <c r="I762" s="34"/>
      <c r="J762" s="93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>
      <c r="A763" s="34"/>
      <c r="B763" s="34"/>
      <c r="C763" s="34"/>
      <c r="D763" s="34"/>
      <c r="E763" s="34"/>
      <c r="F763" s="34"/>
      <c r="G763" s="34"/>
      <c r="H763" s="34"/>
      <c r="I763" s="34"/>
      <c r="J763" s="93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>
      <c r="A764" s="34"/>
      <c r="B764" s="34"/>
      <c r="C764" s="34"/>
      <c r="D764" s="34"/>
      <c r="E764" s="34"/>
      <c r="F764" s="34"/>
      <c r="G764" s="34"/>
      <c r="H764" s="34"/>
      <c r="I764" s="34"/>
      <c r="J764" s="93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>
      <c r="A765" s="34"/>
      <c r="B765" s="34"/>
      <c r="C765" s="34"/>
      <c r="D765" s="34"/>
      <c r="E765" s="34"/>
      <c r="F765" s="34"/>
      <c r="G765" s="34"/>
      <c r="H765" s="34"/>
      <c r="I765" s="34"/>
      <c r="J765" s="93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>
      <c r="A766" s="34"/>
      <c r="B766" s="34"/>
      <c r="C766" s="34"/>
      <c r="D766" s="34"/>
      <c r="E766" s="34"/>
      <c r="F766" s="34"/>
      <c r="G766" s="34"/>
      <c r="H766" s="34"/>
      <c r="I766" s="34"/>
      <c r="J766" s="93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>
      <c r="A767" s="34"/>
      <c r="B767" s="34"/>
      <c r="C767" s="34"/>
      <c r="D767" s="34"/>
      <c r="E767" s="34"/>
      <c r="F767" s="34"/>
      <c r="G767" s="34"/>
      <c r="H767" s="34"/>
      <c r="I767" s="34"/>
      <c r="J767" s="93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>
      <c r="A768" s="34"/>
      <c r="B768" s="34"/>
      <c r="C768" s="34"/>
      <c r="D768" s="34"/>
      <c r="E768" s="34"/>
      <c r="F768" s="34"/>
      <c r="G768" s="34"/>
      <c r="H768" s="34"/>
      <c r="I768" s="34"/>
      <c r="J768" s="93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>
      <c r="A769" s="34"/>
      <c r="B769" s="34"/>
      <c r="C769" s="34"/>
      <c r="D769" s="34"/>
      <c r="E769" s="34"/>
      <c r="F769" s="34"/>
      <c r="G769" s="34"/>
      <c r="H769" s="34"/>
      <c r="I769" s="34"/>
      <c r="J769" s="93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>
      <c r="A770" s="34"/>
      <c r="B770" s="34"/>
      <c r="C770" s="34"/>
      <c r="D770" s="34"/>
      <c r="E770" s="34"/>
      <c r="F770" s="34"/>
      <c r="G770" s="34"/>
      <c r="H770" s="34"/>
      <c r="I770" s="34"/>
      <c r="J770" s="93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>
      <c r="A771" s="34"/>
      <c r="B771" s="34"/>
      <c r="C771" s="34"/>
      <c r="D771" s="34"/>
      <c r="E771" s="34"/>
      <c r="F771" s="34"/>
      <c r="G771" s="34"/>
      <c r="H771" s="34"/>
      <c r="I771" s="34"/>
      <c r="J771" s="93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>
      <c r="A772" s="34"/>
      <c r="B772" s="34"/>
      <c r="C772" s="34"/>
      <c r="D772" s="34"/>
      <c r="E772" s="34"/>
      <c r="F772" s="34"/>
      <c r="G772" s="34"/>
      <c r="H772" s="34"/>
      <c r="I772" s="34"/>
      <c r="J772" s="93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>
      <c r="A773" s="34"/>
      <c r="B773" s="34"/>
      <c r="C773" s="34"/>
      <c r="D773" s="34"/>
      <c r="E773" s="34"/>
      <c r="F773" s="34"/>
      <c r="G773" s="34"/>
      <c r="H773" s="34"/>
      <c r="I773" s="34"/>
      <c r="J773" s="93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>
      <c r="A774" s="34"/>
      <c r="B774" s="34"/>
      <c r="C774" s="34"/>
      <c r="D774" s="34"/>
      <c r="E774" s="34"/>
      <c r="F774" s="34"/>
      <c r="G774" s="34"/>
      <c r="H774" s="34"/>
      <c r="I774" s="34"/>
      <c r="J774" s="93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>
      <c r="A775" s="34"/>
      <c r="B775" s="34"/>
      <c r="C775" s="34"/>
      <c r="D775" s="34"/>
      <c r="E775" s="34"/>
      <c r="F775" s="34"/>
      <c r="G775" s="34"/>
      <c r="H775" s="34"/>
      <c r="I775" s="34"/>
      <c r="J775" s="93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>
      <c r="A776" s="34"/>
      <c r="B776" s="34"/>
      <c r="C776" s="34"/>
      <c r="D776" s="34"/>
      <c r="E776" s="34"/>
      <c r="F776" s="34"/>
      <c r="G776" s="34"/>
      <c r="H776" s="34"/>
      <c r="I776" s="34"/>
      <c r="J776" s="93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>
      <c r="A777" s="34"/>
      <c r="B777" s="34"/>
      <c r="C777" s="34"/>
      <c r="D777" s="34"/>
      <c r="E777" s="34"/>
      <c r="F777" s="34"/>
      <c r="G777" s="34"/>
      <c r="H777" s="34"/>
      <c r="I777" s="34"/>
      <c r="J777" s="93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>
      <c r="A778" s="34"/>
      <c r="B778" s="34"/>
      <c r="C778" s="34"/>
      <c r="D778" s="34"/>
      <c r="E778" s="34"/>
      <c r="F778" s="34"/>
      <c r="G778" s="34"/>
      <c r="H778" s="34"/>
      <c r="I778" s="34"/>
      <c r="J778" s="93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>
      <c r="A779" s="34"/>
      <c r="B779" s="34"/>
      <c r="C779" s="34"/>
      <c r="D779" s="34"/>
      <c r="E779" s="34"/>
      <c r="F779" s="34"/>
      <c r="G779" s="34"/>
      <c r="H779" s="34"/>
      <c r="I779" s="34"/>
      <c r="J779" s="93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>
      <c r="A780" s="34"/>
      <c r="B780" s="34"/>
      <c r="C780" s="34"/>
      <c r="D780" s="34"/>
      <c r="E780" s="34"/>
      <c r="F780" s="34"/>
      <c r="G780" s="34"/>
      <c r="H780" s="34"/>
      <c r="I780" s="34"/>
      <c r="J780" s="93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>
      <c r="A781" s="34"/>
      <c r="B781" s="34"/>
      <c r="C781" s="34"/>
      <c r="D781" s="34"/>
      <c r="E781" s="34"/>
      <c r="F781" s="34"/>
      <c r="G781" s="34"/>
      <c r="H781" s="34"/>
      <c r="I781" s="34"/>
      <c r="J781" s="93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>
      <c r="A782" s="34"/>
      <c r="B782" s="34"/>
      <c r="C782" s="34"/>
      <c r="D782" s="34"/>
      <c r="E782" s="34"/>
      <c r="F782" s="34"/>
      <c r="G782" s="34"/>
      <c r="H782" s="34"/>
      <c r="I782" s="34"/>
      <c r="J782" s="93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>
      <c r="A783" s="34"/>
      <c r="B783" s="34"/>
      <c r="C783" s="34"/>
      <c r="D783" s="34"/>
      <c r="E783" s="34"/>
      <c r="F783" s="34"/>
      <c r="G783" s="34"/>
      <c r="H783" s="34"/>
      <c r="I783" s="34"/>
      <c r="J783" s="93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>
      <c r="A784" s="34"/>
      <c r="B784" s="34"/>
      <c r="C784" s="34"/>
      <c r="D784" s="34"/>
      <c r="E784" s="34"/>
      <c r="F784" s="34"/>
      <c r="G784" s="34"/>
      <c r="H784" s="34"/>
      <c r="I784" s="34"/>
      <c r="J784" s="93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>
      <c r="A785" s="34"/>
      <c r="B785" s="34"/>
      <c r="C785" s="34"/>
      <c r="D785" s="34"/>
      <c r="E785" s="34"/>
      <c r="F785" s="34"/>
      <c r="G785" s="34"/>
      <c r="H785" s="34"/>
      <c r="I785" s="34"/>
      <c r="J785" s="93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>
      <c r="A786" s="34"/>
      <c r="B786" s="34"/>
      <c r="C786" s="34"/>
      <c r="D786" s="34"/>
      <c r="E786" s="34"/>
      <c r="F786" s="34"/>
      <c r="G786" s="34"/>
      <c r="H786" s="34"/>
      <c r="I786" s="34"/>
      <c r="J786" s="93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>
      <c r="A787" s="34"/>
      <c r="B787" s="34"/>
      <c r="C787" s="34"/>
      <c r="D787" s="34"/>
      <c r="E787" s="34"/>
      <c r="F787" s="34"/>
      <c r="G787" s="34"/>
      <c r="H787" s="34"/>
      <c r="I787" s="34"/>
      <c r="J787" s="93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>
      <c r="A788" s="34"/>
      <c r="B788" s="34"/>
      <c r="C788" s="34"/>
      <c r="D788" s="34"/>
      <c r="E788" s="34"/>
      <c r="F788" s="34"/>
      <c r="G788" s="34"/>
      <c r="H788" s="34"/>
      <c r="I788" s="34"/>
      <c r="J788" s="93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>
      <c r="A789" s="34"/>
      <c r="B789" s="34"/>
      <c r="C789" s="34"/>
      <c r="D789" s="34"/>
      <c r="E789" s="34"/>
      <c r="F789" s="34"/>
      <c r="G789" s="34"/>
      <c r="H789" s="34"/>
      <c r="I789" s="34"/>
      <c r="J789" s="93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>
      <c r="A790" s="34"/>
      <c r="B790" s="34"/>
      <c r="C790" s="34"/>
      <c r="D790" s="34"/>
      <c r="E790" s="34"/>
      <c r="F790" s="34"/>
      <c r="G790" s="34"/>
      <c r="H790" s="34"/>
      <c r="I790" s="34"/>
      <c r="J790" s="93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>
      <c r="A791" s="34"/>
      <c r="B791" s="34"/>
      <c r="C791" s="34"/>
      <c r="D791" s="34"/>
      <c r="E791" s="34"/>
      <c r="F791" s="34"/>
      <c r="G791" s="34"/>
      <c r="H791" s="34"/>
      <c r="I791" s="34"/>
      <c r="J791" s="93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>
      <c r="A792" s="34"/>
      <c r="B792" s="34"/>
      <c r="C792" s="34"/>
      <c r="D792" s="34"/>
      <c r="E792" s="34"/>
      <c r="F792" s="34"/>
      <c r="G792" s="34"/>
      <c r="H792" s="34"/>
      <c r="I792" s="34"/>
      <c r="J792" s="93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>
      <c r="A793" s="34"/>
      <c r="B793" s="34"/>
      <c r="C793" s="34"/>
      <c r="D793" s="34"/>
      <c r="E793" s="34"/>
      <c r="F793" s="34"/>
      <c r="G793" s="34"/>
      <c r="H793" s="34"/>
      <c r="I793" s="34"/>
      <c r="J793" s="93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>
      <c r="A794" s="34"/>
      <c r="B794" s="34"/>
      <c r="C794" s="34"/>
      <c r="D794" s="34"/>
      <c r="E794" s="34"/>
      <c r="F794" s="34"/>
      <c r="G794" s="34"/>
      <c r="H794" s="34"/>
      <c r="I794" s="34"/>
      <c r="J794" s="93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>
      <c r="A795" s="34"/>
      <c r="B795" s="34"/>
      <c r="C795" s="34"/>
      <c r="D795" s="34"/>
      <c r="E795" s="34"/>
      <c r="F795" s="34"/>
      <c r="G795" s="34"/>
      <c r="H795" s="34"/>
      <c r="I795" s="34"/>
      <c r="J795" s="93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>
      <c r="A796" s="34"/>
      <c r="B796" s="34"/>
      <c r="C796" s="34"/>
      <c r="D796" s="34"/>
      <c r="E796" s="34"/>
      <c r="F796" s="34"/>
      <c r="G796" s="34"/>
      <c r="H796" s="34"/>
      <c r="I796" s="34"/>
      <c r="J796" s="93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>
      <c r="A797" s="34"/>
      <c r="B797" s="34"/>
      <c r="C797" s="34"/>
      <c r="D797" s="34"/>
      <c r="E797" s="34"/>
      <c r="F797" s="34"/>
      <c r="G797" s="34"/>
      <c r="H797" s="34"/>
      <c r="I797" s="34"/>
      <c r="J797" s="93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>
      <c r="A798" s="34"/>
      <c r="B798" s="34"/>
      <c r="C798" s="34"/>
      <c r="D798" s="34"/>
      <c r="E798" s="34"/>
      <c r="F798" s="34"/>
      <c r="G798" s="34"/>
      <c r="H798" s="34"/>
      <c r="I798" s="34"/>
      <c r="J798" s="93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>
      <c r="A799" s="34"/>
      <c r="B799" s="34"/>
      <c r="C799" s="34"/>
      <c r="D799" s="34"/>
      <c r="E799" s="34"/>
      <c r="F799" s="34"/>
      <c r="G799" s="34"/>
      <c r="H799" s="34"/>
      <c r="I799" s="34"/>
      <c r="J799" s="93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>
      <c r="A800" s="34"/>
      <c r="B800" s="34"/>
      <c r="C800" s="34"/>
      <c r="D800" s="34"/>
      <c r="E800" s="34"/>
      <c r="F800" s="34"/>
      <c r="G800" s="34"/>
      <c r="H800" s="34"/>
      <c r="I800" s="34"/>
      <c r="J800" s="93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>
      <c r="A801" s="34"/>
      <c r="B801" s="34"/>
      <c r="C801" s="34"/>
      <c r="D801" s="34"/>
      <c r="E801" s="34"/>
      <c r="F801" s="34"/>
      <c r="G801" s="34"/>
      <c r="H801" s="34"/>
      <c r="I801" s="34"/>
      <c r="J801" s="93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>
      <c r="A802" s="34"/>
      <c r="B802" s="34"/>
      <c r="C802" s="34"/>
      <c r="D802" s="34"/>
      <c r="E802" s="34"/>
      <c r="F802" s="34"/>
      <c r="G802" s="34"/>
      <c r="H802" s="34"/>
      <c r="I802" s="34"/>
      <c r="J802" s="93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>
      <c r="A803" s="34"/>
      <c r="B803" s="34"/>
      <c r="C803" s="34"/>
      <c r="D803" s="34"/>
      <c r="E803" s="34"/>
      <c r="F803" s="34"/>
      <c r="G803" s="34"/>
      <c r="H803" s="34"/>
      <c r="I803" s="34"/>
      <c r="J803" s="93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>
      <c r="A804" s="34"/>
      <c r="B804" s="34"/>
      <c r="C804" s="34"/>
      <c r="D804" s="34"/>
      <c r="E804" s="34"/>
      <c r="F804" s="34"/>
      <c r="G804" s="34"/>
      <c r="H804" s="34"/>
      <c r="I804" s="34"/>
      <c r="J804" s="93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>
      <c r="A805" s="34"/>
      <c r="B805" s="34"/>
      <c r="C805" s="34"/>
      <c r="D805" s="34"/>
      <c r="E805" s="34"/>
      <c r="F805" s="34"/>
      <c r="G805" s="34"/>
      <c r="H805" s="34"/>
      <c r="I805" s="34"/>
      <c r="J805" s="93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>
      <c r="A806" s="34"/>
      <c r="B806" s="34"/>
      <c r="C806" s="34"/>
      <c r="D806" s="34"/>
      <c r="E806" s="34"/>
      <c r="F806" s="34"/>
      <c r="G806" s="34"/>
      <c r="H806" s="34"/>
      <c r="I806" s="34"/>
      <c r="J806" s="93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>
      <c r="A807" s="34"/>
      <c r="B807" s="34"/>
      <c r="C807" s="34"/>
      <c r="D807" s="34"/>
      <c r="E807" s="34"/>
      <c r="F807" s="34"/>
      <c r="G807" s="34"/>
      <c r="H807" s="34"/>
      <c r="I807" s="34"/>
      <c r="J807" s="93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>
      <c r="A808" s="34"/>
      <c r="B808" s="34"/>
      <c r="C808" s="34"/>
      <c r="D808" s="34"/>
      <c r="E808" s="34"/>
      <c r="F808" s="34"/>
      <c r="G808" s="34"/>
      <c r="H808" s="34"/>
      <c r="I808" s="34"/>
      <c r="J808" s="93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>
      <c r="A809" s="34"/>
      <c r="B809" s="34"/>
      <c r="C809" s="34"/>
      <c r="D809" s="34"/>
      <c r="E809" s="34"/>
      <c r="F809" s="34"/>
      <c r="G809" s="34"/>
      <c r="H809" s="34"/>
      <c r="I809" s="34"/>
      <c r="J809" s="93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>
      <c r="A810" s="34"/>
      <c r="B810" s="34"/>
      <c r="C810" s="34"/>
      <c r="D810" s="34"/>
      <c r="E810" s="34"/>
      <c r="F810" s="34"/>
      <c r="G810" s="34"/>
      <c r="H810" s="34"/>
      <c r="I810" s="34"/>
      <c r="J810" s="93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>
      <c r="A811" s="34"/>
      <c r="B811" s="34"/>
      <c r="C811" s="34"/>
      <c r="D811" s="34"/>
      <c r="E811" s="34"/>
      <c r="F811" s="34"/>
      <c r="G811" s="34"/>
      <c r="H811" s="34"/>
      <c r="I811" s="34"/>
      <c r="J811" s="93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>
      <c r="A812" s="34"/>
      <c r="B812" s="34"/>
      <c r="C812" s="34"/>
      <c r="D812" s="34"/>
      <c r="E812" s="34"/>
      <c r="F812" s="34"/>
      <c r="G812" s="34"/>
      <c r="H812" s="34"/>
      <c r="I812" s="34"/>
      <c r="J812" s="93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>
      <c r="A813" s="34"/>
      <c r="B813" s="34"/>
      <c r="C813" s="34"/>
      <c r="D813" s="34"/>
      <c r="E813" s="34"/>
      <c r="F813" s="34"/>
      <c r="G813" s="34"/>
      <c r="H813" s="34"/>
      <c r="I813" s="34"/>
      <c r="J813" s="93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>
      <c r="A814" s="34"/>
      <c r="B814" s="34"/>
      <c r="C814" s="34"/>
      <c r="D814" s="34"/>
      <c r="E814" s="34"/>
      <c r="F814" s="34"/>
      <c r="G814" s="34"/>
      <c r="H814" s="34"/>
      <c r="I814" s="34"/>
      <c r="J814" s="93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>
      <c r="A815" s="34"/>
      <c r="B815" s="34"/>
      <c r="C815" s="34"/>
      <c r="D815" s="34"/>
      <c r="E815" s="34"/>
      <c r="F815" s="34"/>
      <c r="G815" s="34"/>
      <c r="H815" s="34"/>
      <c r="I815" s="34"/>
      <c r="J815" s="93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>
      <c r="A816" s="34"/>
      <c r="B816" s="34"/>
      <c r="C816" s="34"/>
      <c r="D816" s="34"/>
      <c r="E816" s="34"/>
      <c r="F816" s="34"/>
      <c r="G816" s="34"/>
      <c r="H816" s="34"/>
      <c r="I816" s="34"/>
      <c r="J816" s="93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>
      <c r="A817" s="34"/>
      <c r="B817" s="34"/>
      <c r="C817" s="34"/>
      <c r="D817" s="34"/>
      <c r="E817" s="34"/>
      <c r="F817" s="34"/>
      <c r="G817" s="34"/>
      <c r="H817" s="34"/>
      <c r="I817" s="34"/>
      <c r="J817" s="93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>
      <c r="A818" s="34"/>
      <c r="B818" s="34"/>
      <c r="C818" s="34"/>
      <c r="D818" s="34"/>
      <c r="E818" s="34"/>
      <c r="F818" s="34"/>
      <c r="G818" s="34"/>
      <c r="H818" s="34"/>
      <c r="I818" s="34"/>
      <c r="J818" s="93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>
      <c r="A819" s="34"/>
      <c r="B819" s="34"/>
      <c r="C819" s="34"/>
      <c r="D819" s="34"/>
      <c r="E819" s="34"/>
      <c r="F819" s="34"/>
      <c r="G819" s="34"/>
      <c r="H819" s="34"/>
      <c r="I819" s="34"/>
      <c r="J819" s="93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>
      <c r="A820" s="34"/>
      <c r="B820" s="34"/>
      <c r="C820" s="34"/>
      <c r="D820" s="34"/>
      <c r="E820" s="34"/>
      <c r="F820" s="34"/>
      <c r="G820" s="34"/>
      <c r="H820" s="34"/>
      <c r="I820" s="34"/>
      <c r="J820" s="93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>
      <c r="A821" s="34"/>
      <c r="B821" s="34"/>
      <c r="C821" s="34"/>
      <c r="D821" s="34"/>
      <c r="E821" s="34"/>
      <c r="F821" s="34"/>
      <c r="G821" s="34"/>
      <c r="H821" s="34"/>
      <c r="I821" s="34"/>
      <c r="J821" s="93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>
      <c r="A822" s="34"/>
      <c r="B822" s="34"/>
      <c r="C822" s="34"/>
      <c r="D822" s="34"/>
      <c r="E822" s="34"/>
      <c r="F822" s="34"/>
      <c r="G822" s="34"/>
      <c r="H822" s="34"/>
      <c r="I822" s="34"/>
      <c r="J822" s="93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>
      <c r="A823" s="34"/>
      <c r="B823" s="34"/>
      <c r="C823" s="34"/>
      <c r="D823" s="34"/>
      <c r="E823" s="34"/>
      <c r="F823" s="34"/>
      <c r="G823" s="34"/>
      <c r="H823" s="34"/>
      <c r="I823" s="34"/>
      <c r="J823" s="93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>
      <c r="A824" s="34"/>
      <c r="B824" s="34"/>
      <c r="C824" s="34"/>
      <c r="D824" s="34"/>
      <c r="E824" s="34"/>
      <c r="F824" s="34"/>
      <c r="G824" s="34"/>
      <c r="H824" s="34"/>
      <c r="I824" s="34"/>
      <c r="J824" s="93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>
      <c r="A825" s="34"/>
      <c r="B825" s="34"/>
      <c r="C825" s="34"/>
      <c r="D825" s="34"/>
      <c r="E825" s="34"/>
      <c r="F825" s="34"/>
      <c r="G825" s="34"/>
      <c r="H825" s="34"/>
      <c r="I825" s="34"/>
      <c r="J825" s="93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>
      <c r="A826" s="34"/>
      <c r="B826" s="34"/>
      <c r="C826" s="34"/>
      <c r="D826" s="34"/>
      <c r="E826" s="34"/>
      <c r="F826" s="34"/>
      <c r="G826" s="34"/>
      <c r="H826" s="34"/>
      <c r="I826" s="34"/>
      <c r="J826" s="93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>
      <c r="A827" s="34"/>
      <c r="B827" s="34"/>
      <c r="C827" s="34"/>
      <c r="D827" s="34"/>
      <c r="E827" s="34"/>
      <c r="F827" s="34"/>
      <c r="G827" s="34"/>
      <c r="H827" s="34"/>
      <c r="I827" s="34"/>
      <c r="J827" s="93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>
      <c r="A828" s="34"/>
      <c r="B828" s="34"/>
      <c r="C828" s="34"/>
      <c r="D828" s="34"/>
      <c r="E828" s="34"/>
      <c r="F828" s="34"/>
      <c r="G828" s="34"/>
      <c r="H828" s="34"/>
      <c r="I828" s="34"/>
      <c r="J828" s="93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>
      <c r="A829" s="34"/>
      <c r="B829" s="34"/>
      <c r="C829" s="34"/>
      <c r="D829" s="34"/>
      <c r="E829" s="34"/>
      <c r="F829" s="34"/>
      <c r="G829" s="34"/>
      <c r="H829" s="34"/>
      <c r="I829" s="34"/>
      <c r="J829" s="93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>
      <c r="A830" s="34"/>
      <c r="B830" s="34"/>
      <c r="C830" s="34"/>
      <c r="D830" s="34"/>
      <c r="E830" s="34"/>
      <c r="F830" s="34"/>
      <c r="G830" s="34"/>
      <c r="H830" s="34"/>
      <c r="I830" s="34"/>
      <c r="J830" s="93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>
      <c r="A831" s="34"/>
      <c r="B831" s="34"/>
      <c r="C831" s="34"/>
      <c r="D831" s="34"/>
      <c r="E831" s="34"/>
      <c r="F831" s="34"/>
      <c r="G831" s="34"/>
      <c r="H831" s="34"/>
      <c r="I831" s="34"/>
      <c r="J831" s="93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>
      <c r="A832" s="34"/>
      <c r="B832" s="34"/>
      <c r="C832" s="34"/>
      <c r="D832" s="34"/>
      <c r="E832" s="34"/>
      <c r="F832" s="34"/>
      <c r="G832" s="34"/>
      <c r="H832" s="34"/>
      <c r="I832" s="34"/>
      <c r="J832" s="93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>
      <c r="A833" s="34"/>
      <c r="B833" s="34"/>
      <c r="C833" s="34"/>
      <c r="D833" s="34"/>
      <c r="E833" s="34"/>
      <c r="F833" s="34"/>
      <c r="G833" s="34"/>
      <c r="H833" s="34"/>
      <c r="I833" s="34"/>
      <c r="J833" s="93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>
      <c r="A834" s="34"/>
      <c r="B834" s="34"/>
      <c r="C834" s="34"/>
      <c r="D834" s="34"/>
      <c r="E834" s="34"/>
      <c r="F834" s="34"/>
      <c r="G834" s="34"/>
      <c r="H834" s="34"/>
      <c r="I834" s="34"/>
      <c r="J834" s="93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>
      <c r="A835" s="34"/>
      <c r="B835" s="34"/>
      <c r="C835" s="34"/>
      <c r="D835" s="34"/>
      <c r="E835" s="34"/>
      <c r="F835" s="34"/>
      <c r="G835" s="34"/>
      <c r="H835" s="34"/>
      <c r="I835" s="34"/>
      <c r="J835" s="93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>
      <c r="A836" s="34"/>
      <c r="B836" s="34"/>
      <c r="C836" s="34"/>
      <c r="D836" s="34"/>
      <c r="E836" s="34"/>
      <c r="F836" s="34"/>
      <c r="G836" s="34"/>
      <c r="H836" s="34"/>
      <c r="I836" s="34"/>
      <c r="J836" s="93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>
      <c r="A837" s="34"/>
      <c r="B837" s="34"/>
      <c r="C837" s="34"/>
      <c r="D837" s="34"/>
      <c r="E837" s="34"/>
      <c r="F837" s="34"/>
      <c r="G837" s="34"/>
      <c r="H837" s="34"/>
      <c r="I837" s="34"/>
      <c r="J837" s="93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>
      <c r="A838" s="34"/>
      <c r="B838" s="34"/>
      <c r="C838" s="34"/>
      <c r="D838" s="34"/>
      <c r="E838" s="34"/>
      <c r="F838" s="34"/>
      <c r="G838" s="34"/>
      <c r="H838" s="34"/>
      <c r="I838" s="34"/>
      <c r="J838" s="93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>
      <c r="A839" s="34"/>
      <c r="B839" s="34"/>
      <c r="C839" s="34"/>
      <c r="D839" s="34"/>
      <c r="E839" s="34"/>
      <c r="F839" s="34"/>
      <c r="G839" s="34"/>
      <c r="H839" s="34"/>
      <c r="I839" s="34"/>
      <c r="J839" s="93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>
      <c r="A840" s="34"/>
      <c r="B840" s="34"/>
      <c r="C840" s="34"/>
      <c r="D840" s="34"/>
      <c r="E840" s="34"/>
      <c r="F840" s="34"/>
      <c r="G840" s="34"/>
      <c r="H840" s="34"/>
      <c r="I840" s="34"/>
      <c r="J840" s="93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>
      <c r="A841" s="34"/>
      <c r="B841" s="34"/>
      <c r="C841" s="34"/>
      <c r="D841" s="34"/>
      <c r="E841" s="34"/>
      <c r="F841" s="34"/>
      <c r="G841" s="34"/>
      <c r="H841" s="34"/>
      <c r="I841" s="34"/>
      <c r="J841" s="93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>
      <c r="A842" s="34"/>
      <c r="B842" s="34"/>
      <c r="C842" s="34"/>
      <c r="D842" s="34"/>
      <c r="E842" s="34"/>
      <c r="F842" s="34"/>
      <c r="G842" s="34"/>
      <c r="H842" s="34"/>
      <c r="I842" s="34"/>
      <c r="J842" s="93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>
      <c r="A843" s="34"/>
      <c r="B843" s="34"/>
      <c r="C843" s="34"/>
      <c r="D843" s="34"/>
      <c r="E843" s="34"/>
      <c r="F843" s="34"/>
      <c r="G843" s="34"/>
      <c r="H843" s="34"/>
      <c r="I843" s="34"/>
      <c r="J843" s="93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>
      <c r="A844" s="34"/>
      <c r="B844" s="34"/>
      <c r="C844" s="34"/>
      <c r="D844" s="34"/>
      <c r="E844" s="34"/>
      <c r="F844" s="34"/>
      <c r="G844" s="34"/>
      <c r="H844" s="34"/>
      <c r="I844" s="34"/>
      <c r="J844" s="93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>
      <c r="A845" s="34"/>
      <c r="B845" s="34"/>
      <c r="C845" s="34"/>
      <c r="D845" s="34"/>
      <c r="E845" s="34"/>
      <c r="F845" s="34"/>
      <c r="G845" s="34"/>
      <c r="H845" s="34"/>
      <c r="I845" s="34"/>
      <c r="J845" s="93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>
      <c r="A846" s="34"/>
      <c r="B846" s="34"/>
      <c r="C846" s="34"/>
      <c r="D846" s="34"/>
      <c r="E846" s="34"/>
      <c r="F846" s="34"/>
      <c r="G846" s="34"/>
      <c r="H846" s="34"/>
      <c r="I846" s="34"/>
      <c r="J846" s="93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>
      <c r="A847" s="34"/>
      <c r="B847" s="34"/>
      <c r="C847" s="34"/>
      <c r="D847" s="34"/>
      <c r="E847" s="34"/>
      <c r="F847" s="34"/>
      <c r="G847" s="34"/>
      <c r="H847" s="34"/>
      <c r="I847" s="34"/>
      <c r="J847" s="93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>
      <c r="A848" s="34"/>
      <c r="B848" s="34"/>
      <c r="C848" s="34"/>
      <c r="D848" s="34"/>
      <c r="E848" s="34"/>
      <c r="F848" s="34"/>
      <c r="G848" s="34"/>
      <c r="H848" s="34"/>
      <c r="I848" s="34"/>
      <c r="J848" s="93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>
      <c r="A849" s="34"/>
      <c r="B849" s="34"/>
      <c r="C849" s="34"/>
      <c r="D849" s="34"/>
      <c r="E849" s="34"/>
      <c r="F849" s="34"/>
      <c r="G849" s="34"/>
      <c r="H849" s="34"/>
      <c r="I849" s="34"/>
      <c r="J849" s="93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>
      <c r="A850" s="34"/>
      <c r="B850" s="34"/>
      <c r="C850" s="34"/>
      <c r="D850" s="34"/>
      <c r="E850" s="34"/>
      <c r="F850" s="34"/>
      <c r="G850" s="34"/>
      <c r="H850" s="34"/>
      <c r="I850" s="34"/>
      <c r="J850" s="93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>
      <c r="A851" s="34"/>
      <c r="B851" s="34"/>
      <c r="C851" s="34"/>
      <c r="D851" s="34"/>
      <c r="E851" s="34"/>
      <c r="F851" s="34"/>
      <c r="G851" s="34"/>
      <c r="H851" s="34"/>
      <c r="I851" s="34"/>
      <c r="J851" s="93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>
      <c r="A852" s="34"/>
      <c r="B852" s="34"/>
      <c r="C852" s="34"/>
      <c r="D852" s="34"/>
      <c r="E852" s="34"/>
      <c r="F852" s="34"/>
      <c r="G852" s="34"/>
      <c r="H852" s="34"/>
      <c r="I852" s="34"/>
      <c r="J852" s="93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>
      <c r="A853" s="34"/>
      <c r="B853" s="34"/>
      <c r="C853" s="34"/>
      <c r="D853" s="34"/>
      <c r="E853" s="34"/>
      <c r="F853" s="34"/>
      <c r="G853" s="34"/>
      <c r="H853" s="34"/>
      <c r="I853" s="34"/>
      <c r="J853" s="93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>
      <c r="A854" s="34"/>
      <c r="B854" s="34"/>
      <c r="C854" s="34"/>
      <c r="D854" s="34"/>
      <c r="E854" s="34"/>
      <c r="F854" s="34"/>
      <c r="G854" s="34"/>
      <c r="H854" s="34"/>
      <c r="I854" s="34"/>
      <c r="J854" s="93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>
      <c r="A855" s="34"/>
      <c r="B855" s="34"/>
      <c r="C855" s="34"/>
      <c r="D855" s="34"/>
      <c r="E855" s="34"/>
      <c r="F855" s="34"/>
      <c r="G855" s="34"/>
      <c r="H855" s="34"/>
      <c r="I855" s="34"/>
      <c r="J855" s="93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>
      <c r="A856" s="34"/>
      <c r="B856" s="34"/>
      <c r="C856" s="34"/>
      <c r="D856" s="34"/>
      <c r="E856" s="34"/>
      <c r="F856" s="34"/>
      <c r="G856" s="34"/>
      <c r="H856" s="34"/>
      <c r="I856" s="34"/>
      <c r="J856" s="93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>
      <c r="A857" s="34"/>
      <c r="B857" s="34"/>
      <c r="C857" s="34"/>
      <c r="D857" s="34"/>
      <c r="E857" s="34"/>
      <c r="F857" s="34"/>
      <c r="G857" s="34"/>
      <c r="H857" s="34"/>
      <c r="I857" s="34"/>
      <c r="J857" s="93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>
      <c r="A858" s="34"/>
      <c r="B858" s="34"/>
      <c r="C858" s="34"/>
      <c r="D858" s="34"/>
      <c r="E858" s="34"/>
      <c r="F858" s="34"/>
      <c r="G858" s="34"/>
      <c r="H858" s="34"/>
      <c r="I858" s="34"/>
      <c r="J858" s="93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>
      <c r="A859" s="34"/>
      <c r="B859" s="34"/>
      <c r="C859" s="34"/>
      <c r="D859" s="34"/>
      <c r="E859" s="34"/>
      <c r="F859" s="34"/>
      <c r="G859" s="34"/>
      <c r="H859" s="34"/>
      <c r="I859" s="34"/>
      <c r="J859" s="93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>
      <c r="A860" s="34"/>
      <c r="B860" s="34"/>
      <c r="C860" s="34"/>
      <c r="D860" s="34"/>
      <c r="E860" s="34"/>
      <c r="F860" s="34"/>
      <c r="G860" s="34"/>
      <c r="H860" s="34"/>
      <c r="I860" s="34"/>
      <c r="J860" s="93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>
      <c r="A861" s="34"/>
      <c r="B861" s="34"/>
      <c r="C861" s="34"/>
      <c r="D861" s="34"/>
      <c r="E861" s="34"/>
      <c r="F861" s="34"/>
      <c r="G861" s="34"/>
      <c r="H861" s="34"/>
      <c r="I861" s="34"/>
      <c r="J861" s="93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>
      <c r="A862" s="34"/>
      <c r="B862" s="34"/>
      <c r="C862" s="34"/>
      <c r="D862" s="34"/>
      <c r="E862" s="34"/>
      <c r="F862" s="34"/>
      <c r="G862" s="34"/>
      <c r="H862" s="34"/>
      <c r="I862" s="34"/>
      <c r="J862" s="93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>
      <c r="A863" s="34"/>
      <c r="B863" s="34"/>
      <c r="C863" s="34"/>
      <c r="D863" s="34"/>
      <c r="E863" s="34"/>
      <c r="F863" s="34"/>
      <c r="G863" s="34"/>
      <c r="H863" s="34"/>
      <c r="I863" s="34"/>
      <c r="J863" s="93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>
      <c r="A864" s="34"/>
      <c r="B864" s="34"/>
      <c r="C864" s="34"/>
      <c r="D864" s="34"/>
      <c r="E864" s="34"/>
      <c r="F864" s="34"/>
      <c r="G864" s="34"/>
      <c r="H864" s="34"/>
      <c r="I864" s="34"/>
      <c r="J864" s="93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>
      <c r="A865" s="34"/>
      <c r="B865" s="34"/>
      <c r="C865" s="34"/>
      <c r="D865" s="34"/>
      <c r="E865" s="34"/>
      <c r="F865" s="34"/>
      <c r="G865" s="34"/>
      <c r="H865" s="34"/>
      <c r="I865" s="34"/>
      <c r="J865" s="93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>
      <c r="A866" s="34"/>
      <c r="B866" s="34"/>
      <c r="C866" s="34"/>
      <c r="D866" s="34"/>
      <c r="E866" s="34"/>
      <c r="F866" s="34"/>
      <c r="G866" s="34"/>
      <c r="H866" s="34"/>
      <c r="I866" s="34"/>
      <c r="J866" s="93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>
      <c r="A867" s="34"/>
      <c r="B867" s="34"/>
      <c r="C867" s="34"/>
      <c r="D867" s="34"/>
      <c r="E867" s="34"/>
      <c r="F867" s="34"/>
      <c r="G867" s="34"/>
      <c r="H867" s="34"/>
      <c r="I867" s="34"/>
      <c r="J867" s="93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>
      <c r="A868" s="34"/>
      <c r="B868" s="34"/>
      <c r="C868" s="34"/>
      <c r="D868" s="34"/>
      <c r="E868" s="34"/>
      <c r="F868" s="34"/>
      <c r="G868" s="34"/>
      <c r="H868" s="34"/>
      <c r="I868" s="34"/>
      <c r="J868" s="93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>
      <c r="A869" s="34"/>
      <c r="B869" s="34"/>
      <c r="C869" s="34"/>
      <c r="D869" s="34"/>
      <c r="E869" s="34"/>
      <c r="F869" s="34"/>
      <c r="G869" s="34"/>
      <c r="H869" s="34"/>
      <c r="I869" s="34"/>
      <c r="J869" s="93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>
      <c r="A870" s="34"/>
      <c r="B870" s="34"/>
      <c r="C870" s="34"/>
      <c r="D870" s="34"/>
      <c r="E870" s="34"/>
      <c r="F870" s="34"/>
      <c r="G870" s="34"/>
      <c r="H870" s="34"/>
      <c r="I870" s="34"/>
      <c r="J870" s="93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>
      <c r="A871" s="34"/>
      <c r="B871" s="34"/>
      <c r="C871" s="34"/>
      <c r="D871" s="34"/>
      <c r="E871" s="34"/>
      <c r="F871" s="34"/>
      <c r="G871" s="34"/>
      <c r="H871" s="34"/>
      <c r="I871" s="34"/>
      <c r="J871" s="93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>
      <c r="A872" s="34"/>
      <c r="B872" s="34"/>
      <c r="C872" s="34"/>
      <c r="D872" s="34"/>
      <c r="E872" s="34"/>
      <c r="F872" s="34"/>
      <c r="G872" s="34"/>
      <c r="H872" s="34"/>
      <c r="I872" s="34"/>
      <c r="J872" s="93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>
      <c r="A873" s="34"/>
      <c r="B873" s="34"/>
      <c r="C873" s="34"/>
      <c r="D873" s="34"/>
      <c r="E873" s="34"/>
      <c r="F873" s="34"/>
      <c r="G873" s="34"/>
      <c r="H873" s="34"/>
      <c r="I873" s="34"/>
      <c r="J873" s="93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>
      <c r="A874" s="34"/>
      <c r="B874" s="34"/>
      <c r="C874" s="34"/>
      <c r="D874" s="34"/>
      <c r="E874" s="34"/>
      <c r="F874" s="34"/>
      <c r="G874" s="34"/>
      <c r="H874" s="34"/>
      <c r="I874" s="34"/>
      <c r="J874" s="93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>
      <c r="A875" s="34"/>
      <c r="B875" s="34"/>
      <c r="C875" s="34"/>
      <c r="D875" s="34"/>
      <c r="E875" s="34"/>
      <c r="F875" s="34"/>
      <c r="G875" s="34"/>
      <c r="H875" s="34"/>
      <c r="I875" s="34"/>
      <c r="J875" s="93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>
      <c r="A876" s="34"/>
      <c r="B876" s="34"/>
      <c r="C876" s="34"/>
      <c r="D876" s="34"/>
      <c r="E876" s="34"/>
      <c r="F876" s="34"/>
      <c r="G876" s="34"/>
      <c r="H876" s="34"/>
      <c r="I876" s="34"/>
      <c r="J876" s="93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>
      <c r="A877" s="34"/>
      <c r="B877" s="34"/>
      <c r="C877" s="34"/>
      <c r="D877" s="34"/>
      <c r="E877" s="34"/>
      <c r="F877" s="34"/>
      <c r="G877" s="34"/>
      <c r="H877" s="34"/>
      <c r="I877" s="34"/>
      <c r="J877" s="93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>
      <c r="A878" s="34"/>
      <c r="B878" s="34"/>
      <c r="C878" s="34"/>
      <c r="D878" s="34"/>
      <c r="E878" s="34"/>
      <c r="F878" s="34"/>
      <c r="G878" s="34"/>
      <c r="H878" s="34"/>
      <c r="I878" s="34"/>
      <c r="J878" s="93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>
      <c r="A879" s="34"/>
      <c r="B879" s="34"/>
      <c r="C879" s="34"/>
      <c r="D879" s="34"/>
      <c r="E879" s="34"/>
      <c r="F879" s="34"/>
      <c r="G879" s="34"/>
      <c r="H879" s="34"/>
      <c r="I879" s="34"/>
      <c r="J879" s="93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>
      <c r="A880" s="34"/>
      <c r="B880" s="34"/>
      <c r="C880" s="34"/>
      <c r="D880" s="34"/>
      <c r="E880" s="34"/>
      <c r="F880" s="34"/>
      <c r="G880" s="34"/>
      <c r="H880" s="34"/>
      <c r="I880" s="34"/>
      <c r="J880" s="93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>
      <c r="A881" s="34"/>
      <c r="B881" s="34"/>
      <c r="C881" s="34"/>
      <c r="D881" s="34"/>
      <c r="E881" s="34"/>
      <c r="F881" s="34"/>
      <c r="G881" s="34"/>
      <c r="H881" s="34"/>
      <c r="I881" s="34"/>
      <c r="J881" s="93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>
      <c r="A882" s="34"/>
      <c r="B882" s="34"/>
      <c r="C882" s="34"/>
      <c r="D882" s="34"/>
      <c r="E882" s="34"/>
      <c r="F882" s="34"/>
      <c r="G882" s="34"/>
      <c r="H882" s="34"/>
      <c r="I882" s="34"/>
      <c r="J882" s="93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>
      <c r="A883" s="34"/>
      <c r="B883" s="34"/>
      <c r="C883" s="34"/>
      <c r="D883" s="34"/>
      <c r="E883" s="34"/>
      <c r="F883" s="34"/>
      <c r="G883" s="34"/>
      <c r="H883" s="34"/>
      <c r="I883" s="34"/>
      <c r="J883" s="93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>
      <c r="A884" s="34"/>
      <c r="B884" s="34"/>
      <c r="C884" s="34"/>
      <c r="D884" s="34"/>
      <c r="E884" s="34"/>
      <c r="F884" s="34"/>
      <c r="G884" s="34"/>
      <c r="H884" s="34"/>
      <c r="I884" s="34"/>
      <c r="J884" s="93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>
      <c r="A885" s="34"/>
      <c r="B885" s="34"/>
      <c r="C885" s="34"/>
      <c r="D885" s="34"/>
      <c r="E885" s="34"/>
      <c r="F885" s="34"/>
      <c r="G885" s="34"/>
      <c r="H885" s="34"/>
      <c r="I885" s="34"/>
      <c r="J885" s="93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>
      <c r="A886" s="34"/>
      <c r="B886" s="34"/>
      <c r="C886" s="34"/>
      <c r="D886" s="34"/>
      <c r="E886" s="34"/>
      <c r="F886" s="34"/>
      <c r="G886" s="34"/>
      <c r="H886" s="34"/>
      <c r="I886" s="34"/>
      <c r="J886" s="93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>
      <c r="A887" s="34"/>
      <c r="B887" s="34"/>
      <c r="C887" s="34"/>
      <c r="D887" s="34"/>
      <c r="E887" s="34"/>
      <c r="F887" s="34"/>
      <c r="G887" s="34"/>
      <c r="H887" s="34"/>
      <c r="I887" s="34"/>
      <c r="J887" s="93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>
      <c r="A888" s="34"/>
      <c r="B888" s="34"/>
      <c r="C888" s="34"/>
      <c r="D888" s="34"/>
      <c r="E888" s="34"/>
      <c r="F888" s="34"/>
      <c r="G888" s="34"/>
      <c r="H888" s="34"/>
      <c r="I888" s="34"/>
      <c r="J888" s="93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>
      <c r="A889" s="34"/>
      <c r="B889" s="34"/>
      <c r="C889" s="34"/>
      <c r="D889" s="34"/>
      <c r="E889" s="34"/>
      <c r="F889" s="34"/>
      <c r="G889" s="34"/>
      <c r="H889" s="34"/>
      <c r="I889" s="34"/>
      <c r="J889" s="93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>
      <c r="A890" s="34"/>
      <c r="B890" s="34"/>
      <c r="C890" s="34"/>
      <c r="D890" s="34"/>
      <c r="E890" s="34"/>
      <c r="F890" s="34"/>
      <c r="G890" s="34"/>
      <c r="H890" s="34"/>
      <c r="I890" s="34"/>
      <c r="J890" s="93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>
      <c r="A891" s="34"/>
      <c r="B891" s="34"/>
      <c r="C891" s="34"/>
      <c r="D891" s="34"/>
      <c r="E891" s="34"/>
      <c r="F891" s="34"/>
      <c r="G891" s="34"/>
      <c r="H891" s="34"/>
      <c r="I891" s="34"/>
      <c r="J891" s="93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>
      <c r="A892" s="34"/>
      <c r="B892" s="34"/>
      <c r="C892" s="34"/>
      <c r="D892" s="34"/>
      <c r="E892" s="34"/>
      <c r="F892" s="34"/>
      <c r="G892" s="34"/>
      <c r="H892" s="34"/>
      <c r="I892" s="34"/>
      <c r="J892" s="93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>
      <c r="A893" s="34"/>
      <c r="B893" s="34"/>
      <c r="C893" s="34"/>
      <c r="D893" s="34"/>
      <c r="E893" s="34"/>
      <c r="F893" s="34"/>
      <c r="G893" s="34"/>
      <c r="H893" s="34"/>
      <c r="I893" s="34"/>
      <c r="J893" s="93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>
      <c r="A894" s="34"/>
      <c r="B894" s="34"/>
      <c r="C894" s="34"/>
      <c r="D894" s="34"/>
      <c r="E894" s="34"/>
      <c r="F894" s="34"/>
      <c r="G894" s="34"/>
      <c r="H894" s="34"/>
      <c r="I894" s="34"/>
      <c r="J894" s="93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>
      <c r="A895" s="34"/>
      <c r="B895" s="34"/>
      <c r="C895" s="34"/>
      <c r="D895" s="34"/>
      <c r="E895" s="34"/>
      <c r="F895" s="34"/>
      <c r="G895" s="34"/>
      <c r="H895" s="34"/>
      <c r="I895" s="34"/>
      <c r="J895" s="93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>
      <c r="A896" s="34"/>
      <c r="B896" s="34"/>
      <c r="C896" s="34"/>
      <c r="D896" s="34"/>
      <c r="E896" s="34"/>
      <c r="F896" s="34"/>
      <c r="G896" s="34"/>
      <c r="H896" s="34"/>
      <c r="I896" s="34"/>
      <c r="J896" s="93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>
      <c r="A897" s="34"/>
      <c r="B897" s="34"/>
      <c r="C897" s="34"/>
      <c r="D897" s="34"/>
      <c r="E897" s="34"/>
      <c r="F897" s="34"/>
      <c r="G897" s="34"/>
      <c r="H897" s="34"/>
      <c r="I897" s="34"/>
      <c r="J897" s="93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>
      <c r="A898" s="34"/>
      <c r="B898" s="34"/>
      <c r="C898" s="34"/>
      <c r="D898" s="34"/>
      <c r="E898" s="34"/>
      <c r="F898" s="34"/>
      <c r="G898" s="34"/>
      <c r="H898" s="34"/>
      <c r="I898" s="34"/>
      <c r="J898" s="93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>
      <c r="A899" s="34"/>
      <c r="B899" s="34"/>
      <c r="C899" s="34"/>
      <c r="D899" s="34"/>
      <c r="E899" s="34"/>
      <c r="F899" s="34"/>
      <c r="G899" s="34"/>
      <c r="H899" s="34"/>
      <c r="I899" s="34"/>
      <c r="J899" s="93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>
      <c r="A900" s="34"/>
      <c r="B900" s="34"/>
      <c r="C900" s="34"/>
      <c r="D900" s="34"/>
      <c r="E900" s="34"/>
      <c r="F900" s="34"/>
      <c r="G900" s="34"/>
      <c r="H900" s="34"/>
      <c r="I900" s="34"/>
      <c r="J900" s="93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>
      <c r="A901" s="34"/>
      <c r="B901" s="34"/>
      <c r="C901" s="34"/>
      <c r="D901" s="34"/>
      <c r="E901" s="34"/>
      <c r="F901" s="34"/>
      <c r="G901" s="34"/>
      <c r="H901" s="34"/>
      <c r="I901" s="34"/>
      <c r="J901" s="93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>
      <c r="A902" s="34"/>
      <c r="B902" s="34"/>
      <c r="C902" s="34"/>
      <c r="D902" s="34"/>
      <c r="E902" s="34"/>
      <c r="F902" s="34"/>
      <c r="G902" s="34"/>
      <c r="H902" s="34"/>
      <c r="I902" s="34"/>
      <c r="J902" s="93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>
      <c r="A903" s="34"/>
      <c r="B903" s="34"/>
      <c r="C903" s="34"/>
      <c r="D903" s="34"/>
      <c r="E903" s="34"/>
      <c r="F903" s="34"/>
      <c r="G903" s="34"/>
      <c r="H903" s="34"/>
      <c r="I903" s="34"/>
      <c r="J903" s="93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>
      <c r="A904" s="34"/>
      <c r="B904" s="34"/>
      <c r="C904" s="34"/>
      <c r="D904" s="34"/>
      <c r="E904" s="34"/>
      <c r="F904" s="34"/>
      <c r="G904" s="34"/>
      <c r="H904" s="34"/>
      <c r="I904" s="34"/>
      <c r="J904" s="93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>
      <c r="A905" s="34"/>
      <c r="B905" s="34"/>
      <c r="C905" s="34"/>
      <c r="D905" s="34"/>
      <c r="E905" s="34"/>
      <c r="F905" s="34"/>
      <c r="G905" s="34"/>
      <c r="H905" s="34"/>
      <c r="I905" s="34"/>
      <c r="J905" s="93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>
      <c r="A906" s="34"/>
      <c r="B906" s="34"/>
      <c r="C906" s="34"/>
      <c r="D906" s="34"/>
      <c r="E906" s="34"/>
      <c r="F906" s="34"/>
      <c r="G906" s="34"/>
      <c r="H906" s="34"/>
      <c r="I906" s="34"/>
      <c r="J906" s="93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>
      <c r="A907" s="34"/>
      <c r="B907" s="34"/>
      <c r="C907" s="34"/>
      <c r="D907" s="34"/>
      <c r="E907" s="34"/>
      <c r="F907" s="34"/>
      <c r="G907" s="34"/>
      <c r="H907" s="34"/>
      <c r="I907" s="34"/>
      <c r="J907" s="93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>
      <c r="A908" s="34"/>
      <c r="B908" s="34"/>
      <c r="C908" s="34"/>
      <c r="D908" s="34"/>
      <c r="E908" s="34"/>
      <c r="F908" s="34"/>
      <c r="G908" s="34"/>
      <c r="H908" s="34"/>
      <c r="I908" s="34"/>
      <c r="J908" s="93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>
      <c r="A909" s="34"/>
      <c r="B909" s="34"/>
      <c r="C909" s="34"/>
      <c r="D909" s="34"/>
      <c r="E909" s="34"/>
      <c r="F909" s="34"/>
      <c r="G909" s="34"/>
      <c r="H909" s="34"/>
      <c r="I909" s="34"/>
      <c r="J909" s="93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>
      <c r="A910" s="34"/>
      <c r="B910" s="34"/>
      <c r="C910" s="34"/>
      <c r="D910" s="34"/>
      <c r="E910" s="34"/>
      <c r="F910" s="34"/>
      <c r="G910" s="34"/>
      <c r="H910" s="34"/>
      <c r="I910" s="34"/>
      <c r="J910" s="93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>
      <c r="A911" s="34"/>
      <c r="B911" s="34"/>
      <c r="C911" s="34"/>
      <c r="D911" s="34"/>
      <c r="E911" s="34"/>
      <c r="F911" s="34"/>
      <c r="G911" s="34"/>
      <c r="H911" s="34"/>
      <c r="I911" s="34"/>
      <c r="J911" s="93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>
      <c r="A912" s="34"/>
      <c r="B912" s="34"/>
      <c r="C912" s="34"/>
      <c r="D912" s="34"/>
      <c r="E912" s="34"/>
      <c r="F912" s="34"/>
      <c r="G912" s="34"/>
      <c r="H912" s="34"/>
      <c r="I912" s="34"/>
      <c r="J912" s="93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>
      <c r="A913" s="34"/>
      <c r="B913" s="34"/>
      <c r="C913" s="34"/>
      <c r="D913" s="34"/>
      <c r="E913" s="34"/>
      <c r="F913" s="34"/>
      <c r="G913" s="34"/>
      <c r="H913" s="34"/>
      <c r="I913" s="34"/>
      <c r="J913" s="93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>
      <c r="A914" s="34"/>
      <c r="B914" s="34"/>
      <c r="C914" s="34"/>
      <c r="D914" s="34"/>
      <c r="E914" s="34"/>
      <c r="F914" s="34"/>
      <c r="G914" s="34"/>
      <c r="H914" s="34"/>
      <c r="I914" s="34"/>
      <c r="J914" s="93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>
      <c r="A915" s="34"/>
      <c r="B915" s="34"/>
      <c r="C915" s="34"/>
      <c r="D915" s="34"/>
      <c r="E915" s="34"/>
      <c r="F915" s="34"/>
      <c r="G915" s="34"/>
      <c r="H915" s="34"/>
      <c r="I915" s="34"/>
      <c r="J915" s="93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>
      <c r="A916" s="34"/>
      <c r="B916" s="34"/>
      <c r="C916" s="34"/>
      <c r="D916" s="34"/>
      <c r="E916" s="34"/>
      <c r="F916" s="34"/>
      <c r="G916" s="34"/>
      <c r="H916" s="34"/>
      <c r="I916" s="34"/>
      <c r="J916" s="93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>
      <c r="A917" s="34"/>
      <c r="B917" s="34"/>
      <c r="C917" s="34"/>
      <c r="D917" s="34"/>
      <c r="E917" s="34"/>
      <c r="F917" s="34"/>
      <c r="G917" s="34"/>
      <c r="H917" s="34"/>
      <c r="I917" s="34"/>
      <c r="J917" s="93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>
      <c r="A918" s="34"/>
      <c r="B918" s="34"/>
      <c r="C918" s="34"/>
      <c r="D918" s="34"/>
      <c r="E918" s="34"/>
      <c r="F918" s="34"/>
      <c r="G918" s="34"/>
      <c r="H918" s="34"/>
      <c r="I918" s="34"/>
      <c r="J918" s="93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>
      <c r="A919" s="34"/>
      <c r="B919" s="34"/>
      <c r="C919" s="34"/>
      <c r="D919" s="34"/>
      <c r="E919" s="34"/>
      <c r="F919" s="34"/>
      <c r="G919" s="34"/>
      <c r="H919" s="34"/>
      <c r="I919" s="34"/>
      <c r="J919" s="93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>
      <c r="A920" s="34"/>
      <c r="B920" s="34"/>
      <c r="C920" s="34"/>
      <c r="D920" s="34"/>
      <c r="E920" s="34"/>
      <c r="F920" s="34"/>
      <c r="G920" s="34"/>
      <c r="H920" s="34"/>
      <c r="I920" s="34"/>
      <c r="J920" s="93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>
      <c r="A921" s="34"/>
      <c r="B921" s="34"/>
      <c r="C921" s="34"/>
      <c r="D921" s="34"/>
      <c r="E921" s="34"/>
      <c r="F921" s="34"/>
      <c r="G921" s="34"/>
      <c r="H921" s="34"/>
      <c r="I921" s="34"/>
      <c r="J921" s="93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>
      <c r="A922" s="34"/>
      <c r="B922" s="34"/>
      <c r="C922" s="34"/>
      <c r="D922" s="34"/>
      <c r="E922" s="34"/>
      <c r="F922" s="34"/>
      <c r="G922" s="34"/>
      <c r="H922" s="34"/>
      <c r="I922" s="34"/>
      <c r="J922" s="93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>
      <c r="A923" s="34"/>
      <c r="B923" s="34"/>
      <c r="C923" s="34"/>
      <c r="D923" s="34"/>
      <c r="E923" s="34"/>
      <c r="F923" s="34"/>
      <c r="G923" s="34"/>
      <c r="H923" s="34"/>
      <c r="I923" s="34"/>
      <c r="J923" s="93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>
      <c r="A924" s="34"/>
      <c r="B924" s="34"/>
      <c r="C924" s="34"/>
      <c r="D924" s="34"/>
      <c r="E924" s="34"/>
      <c r="F924" s="34"/>
      <c r="G924" s="34"/>
      <c r="H924" s="34"/>
      <c r="I924" s="34"/>
      <c r="J924" s="93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>
      <c r="A925" s="34"/>
      <c r="B925" s="34"/>
      <c r="C925" s="34"/>
      <c r="D925" s="34"/>
      <c r="E925" s="34"/>
      <c r="F925" s="34"/>
      <c r="G925" s="34"/>
      <c r="H925" s="34"/>
      <c r="I925" s="34"/>
      <c r="J925" s="93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>
      <c r="A926" s="34"/>
      <c r="B926" s="34"/>
      <c r="C926" s="34"/>
      <c r="D926" s="34"/>
      <c r="E926" s="34"/>
      <c r="F926" s="34"/>
      <c r="G926" s="34"/>
      <c r="H926" s="34"/>
      <c r="I926" s="34"/>
      <c r="J926" s="93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>
      <c r="A927" s="34"/>
      <c r="B927" s="34"/>
      <c r="C927" s="34"/>
      <c r="D927" s="34"/>
      <c r="E927" s="34"/>
      <c r="F927" s="34"/>
      <c r="G927" s="34"/>
      <c r="H927" s="34"/>
      <c r="I927" s="34"/>
      <c r="J927" s="93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>
      <c r="A928" s="34"/>
      <c r="B928" s="34"/>
      <c r="C928" s="34"/>
      <c r="D928" s="34"/>
      <c r="E928" s="34"/>
      <c r="F928" s="34"/>
      <c r="G928" s="34"/>
      <c r="H928" s="34"/>
      <c r="I928" s="34"/>
      <c r="J928" s="93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>
      <c r="A929" s="34"/>
      <c r="B929" s="34"/>
      <c r="C929" s="34"/>
      <c r="D929" s="34"/>
      <c r="E929" s="34"/>
      <c r="F929" s="34"/>
      <c r="G929" s="34"/>
      <c r="H929" s="34"/>
      <c r="I929" s="34"/>
      <c r="J929" s="93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>
      <c r="A930" s="34"/>
      <c r="B930" s="34"/>
      <c r="C930" s="34"/>
      <c r="D930" s="34"/>
      <c r="E930" s="34"/>
      <c r="F930" s="34"/>
      <c r="G930" s="34"/>
      <c r="H930" s="34"/>
      <c r="I930" s="34"/>
      <c r="J930" s="93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>
      <c r="A931" s="34"/>
      <c r="B931" s="34"/>
      <c r="C931" s="34"/>
      <c r="D931" s="34"/>
      <c r="E931" s="34"/>
      <c r="F931" s="34"/>
      <c r="G931" s="34"/>
      <c r="H931" s="34"/>
      <c r="I931" s="34"/>
      <c r="J931" s="93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>
      <c r="A932" s="34"/>
      <c r="B932" s="34"/>
      <c r="C932" s="34"/>
      <c r="D932" s="34"/>
      <c r="E932" s="34"/>
      <c r="F932" s="34"/>
      <c r="G932" s="34"/>
      <c r="H932" s="34"/>
      <c r="I932" s="34"/>
      <c r="J932" s="93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>
      <c r="A933" s="34"/>
      <c r="B933" s="34"/>
      <c r="C933" s="34"/>
      <c r="D933" s="34"/>
      <c r="E933" s="34"/>
      <c r="F933" s="34"/>
      <c r="G933" s="34"/>
      <c r="H933" s="34"/>
      <c r="I933" s="34"/>
      <c r="J933" s="93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>
      <c r="A934" s="34"/>
      <c r="B934" s="34"/>
      <c r="C934" s="34"/>
      <c r="D934" s="34"/>
      <c r="E934" s="34"/>
      <c r="F934" s="34"/>
      <c r="G934" s="34"/>
      <c r="H934" s="34"/>
      <c r="I934" s="34"/>
      <c r="J934" s="93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>
      <c r="A935" s="34"/>
      <c r="B935" s="34"/>
      <c r="C935" s="34"/>
      <c r="D935" s="34"/>
      <c r="E935" s="34"/>
      <c r="F935" s="34"/>
      <c r="G935" s="34"/>
      <c r="H935" s="34"/>
      <c r="I935" s="34"/>
      <c r="J935" s="93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>
      <c r="A936" s="34"/>
      <c r="B936" s="34"/>
      <c r="C936" s="34"/>
      <c r="D936" s="34"/>
      <c r="E936" s="34"/>
      <c r="F936" s="34"/>
      <c r="G936" s="34"/>
      <c r="H936" s="34"/>
      <c r="I936" s="34"/>
      <c r="J936" s="93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>
      <c r="A937" s="34"/>
      <c r="B937" s="34"/>
      <c r="C937" s="34"/>
      <c r="D937" s="34"/>
      <c r="E937" s="34"/>
      <c r="F937" s="34"/>
      <c r="G937" s="34"/>
      <c r="H937" s="34"/>
      <c r="I937" s="34"/>
      <c r="J937" s="93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>
      <c r="A938" s="34"/>
      <c r="B938" s="34"/>
      <c r="C938" s="34"/>
      <c r="D938" s="34"/>
      <c r="E938" s="34"/>
      <c r="F938" s="34"/>
      <c r="G938" s="34"/>
      <c r="H938" s="34"/>
      <c r="I938" s="34"/>
      <c r="J938" s="93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>
      <c r="A939" s="34"/>
      <c r="B939" s="34"/>
      <c r="C939" s="34"/>
      <c r="D939" s="34"/>
      <c r="E939" s="34"/>
      <c r="F939" s="34"/>
      <c r="G939" s="34"/>
      <c r="H939" s="34"/>
      <c r="I939" s="34"/>
      <c r="J939" s="93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>
      <c r="A940" s="34"/>
      <c r="B940" s="34"/>
      <c r="C940" s="34"/>
      <c r="D940" s="34"/>
      <c r="E940" s="34"/>
      <c r="F940" s="34"/>
      <c r="G940" s="34"/>
      <c r="H940" s="34"/>
      <c r="I940" s="34"/>
      <c r="J940" s="93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>
      <c r="A941" s="34"/>
      <c r="B941" s="34"/>
      <c r="C941" s="34"/>
      <c r="D941" s="34"/>
      <c r="E941" s="34"/>
      <c r="F941" s="34"/>
      <c r="G941" s="34"/>
      <c r="H941" s="34"/>
      <c r="I941" s="34"/>
      <c r="J941" s="93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>
      <c r="A942" s="34"/>
      <c r="B942" s="34"/>
      <c r="C942" s="34"/>
      <c r="D942" s="34"/>
      <c r="E942" s="34"/>
      <c r="F942" s="34"/>
      <c r="G942" s="34"/>
      <c r="H942" s="34"/>
      <c r="I942" s="34"/>
      <c r="J942" s="93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>
      <c r="A943" s="34"/>
      <c r="B943" s="34"/>
      <c r="C943" s="34"/>
      <c r="D943" s="34"/>
      <c r="E943" s="34"/>
      <c r="F943" s="34"/>
      <c r="G943" s="34"/>
      <c r="H943" s="34"/>
      <c r="I943" s="34"/>
      <c r="J943" s="93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>
      <c r="A944" s="34"/>
      <c r="B944" s="34"/>
      <c r="C944" s="34"/>
      <c r="D944" s="34"/>
      <c r="E944" s="34"/>
      <c r="F944" s="34"/>
      <c r="G944" s="34"/>
      <c r="H944" s="34"/>
      <c r="I944" s="34"/>
      <c r="J944" s="93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>
      <c r="A945" s="34"/>
      <c r="B945" s="34"/>
      <c r="C945" s="34"/>
      <c r="D945" s="34"/>
      <c r="E945" s="34"/>
      <c r="F945" s="34"/>
      <c r="G945" s="34"/>
      <c r="H945" s="34"/>
      <c r="I945" s="34"/>
      <c r="J945" s="93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>
      <c r="A946" s="34"/>
      <c r="B946" s="34"/>
      <c r="C946" s="34"/>
      <c r="D946" s="34"/>
      <c r="E946" s="34"/>
      <c r="F946" s="34"/>
      <c r="G946" s="34"/>
      <c r="H946" s="34"/>
      <c r="I946" s="34"/>
      <c r="J946" s="93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>
      <c r="A947" s="34"/>
      <c r="B947" s="34"/>
      <c r="C947" s="34"/>
      <c r="D947" s="34"/>
      <c r="E947" s="34"/>
      <c r="F947" s="34"/>
      <c r="G947" s="34"/>
      <c r="H947" s="34"/>
      <c r="I947" s="34"/>
      <c r="J947" s="93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>
      <c r="A948" s="34"/>
      <c r="B948" s="34"/>
      <c r="C948" s="34"/>
      <c r="D948" s="34"/>
      <c r="E948" s="34"/>
      <c r="F948" s="34"/>
      <c r="G948" s="34"/>
      <c r="H948" s="34"/>
      <c r="I948" s="34"/>
      <c r="J948" s="93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>
      <c r="A949" s="34"/>
      <c r="B949" s="34"/>
      <c r="C949" s="34"/>
      <c r="D949" s="34"/>
      <c r="E949" s="34"/>
      <c r="F949" s="34"/>
      <c r="G949" s="34"/>
      <c r="H949" s="34"/>
      <c r="I949" s="34"/>
      <c r="J949" s="93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>
      <c r="A950" s="34"/>
      <c r="B950" s="34"/>
      <c r="C950" s="34"/>
      <c r="D950" s="34"/>
      <c r="E950" s="34"/>
      <c r="F950" s="34"/>
      <c r="G950" s="34"/>
      <c r="H950" s="34"/>
      <c r="I950" s="34"/>
      <c r="J950" s="93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>
      <c r="A951" s="34"/>
      <c r="B951" s="34"/>
      <c r="C951" s="34"/>
      <c r="D951" s="34"/>
      <c r="E951" s="34"/>
      <c r="F951" s="34"/>
      <c r="G951" s="34"/>
      <c r="H951" s="34"/>
      <c r="I951" s="34"/>
      <c r="J951" s="93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>
      <c r="A952" s="34"/>
      <c r="B952" s="34"/>
      <c r="C952" s="34"/>
      <c r="D952" s="34"/>
      <c r="E952" s="34"/>
      <c r="F952" s="34"/>
      <c r="G952" s="34"/>
      <c r="H952" s="34"/>
      <c r="I952" s="34"/>
      <c r="J952" s="93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>
      <c r="A953" s="34"/>
      <c r="B953" s="34"/>
      <c r="C953" s="34"/>
      <c r="D953" s="34"/>
      <c r="E953" s="34"/>
      <c r="F953" s="34"/>
      <c r="G953" s="34"/>
      <c r="H953" s="34"/>
      <c r="I953" s="34"/>
      <c r="J953" s="93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>
      <c r="A954" s="34"/>
      <c r="B954" s="34"/>
      <c r="C954" s="34"/>
      <c r="D954" s="34"/>
      <c r="E954" s="34"/>
      <c r="F954" s="34"/>
      <c r="G954" s="34"/>
      <c r="H954" s="34"/>
      <c r="I954" s="34"/>
      <c r="J954" s="93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>
      <c r="A955" s="34"/>
      <c r="B955" s="34"/>
      <c r="C955" s="34"/>
      <c r="D955" s="34"/>
      <c r="E955" s="34"/>
      <c r="F955" s="34"/>
      <c r="G955" s="34"/>
      <c r="H955" s="34"/>
      <c r="I955" s="34"/>
      <c r="J955" s="93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>
      <c r="A956" s="34"/>
      <c r="B956" s="34"/>
      <c r="C956" s="34"/>
      <c r="D956" s="34"/>
      <c r="E956" s="34"/>
      <c r="F956" s="34"/>
      <c r="G956" s="34"/>
      <c r="H956" s="34"/>
      <c r="I956" s="34"/>
      <c r="J956" s="93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>
      <c r="A957" s="34"/>
      <c r="B957" s="34"/>
      <c r="C957" s="34"/>
      <c r="D957" s="34"/>
      <c r="E957" s="34"/>
      <c r="F957" s="34"/>
      <c r="G957" s="34"/>
      <c r="H957" s="34"/>
      <c r="I957" s="34"/>
      <c r="J957" s="93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>
      <c r="A958" s="34"/>
      <c r="B958" s="34"/>
      <c r="C958" s="34"/>
      <c r="D958" s="34"/>
      <c r="E958" s="34"/>
      <c r="F958" s="34"/>
      <c r="G958" s="34"/>
      <c r="H958" s="34"/>
      <c r="I958" s="34"/>
      <c r="J958" s="93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>
      <c r="A959" s="34"/>
      <c r="B959" s="34"/>
      <c r="C959" s="34"/>
      <c r="D959" s="34"/>
      <c r="E959" s="34"/>
      <c r="F959" s="34"/>
      <c r="G959" s="34"/>
      <c r="H959" s="34"/>
      <c r="I959" s="34"/>
      <c r="J959" s="93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>
      <c r="A960" s="34"/>
      <c r="B960" s="34"/>
      <c r="C960" s="34"/>
      <c r="D960" s="34"/>
      <c r="E960" s="34"/>
      <c r="F960" s="34"/>
      <c r="G960" s="34"/>
      <c r="H960" s="34"/>
      <c r="I960" s="34"/>
      <c r="J960" s="93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>
      <c r="A961" s="34"/>
      <c r="B961" s="34"/>
      <c r="C961" s="34"/>
      <c r="D961" s="34"/>
      <c r="E961" s="34"/>
      <c r="F961" s="34"/>
      <c r="G961" s="34"/>
      <c r="H961" s="34"/>
      <c r="I961" s="34"/>
      <c r="J961" s="93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>
      <c r="A962" s="34"/>
      <c r="B962" s="34"/>
      <c r="C962" s="34"/>
      <c r="D962" s="34"/>
      <c r="E962" s="34"/>
      <c r="F962" s="34"/>
      <c r="G962" s="34"/>
      <c r="H962" s="34"/>
      <c r="I962" s="34"/>
      <c r="J962" s="93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>
      <c r="A963" s="34"/>
      <c r="B963" s="34"/>
      <c r="C963" s="34"/>
      <c r="D963" s="34"/>
      <c r="E963" s="34"/>
      <c r="F963" s="34"/>
      <c r="G963" s="34"/>
      <c r="H963" s="34"/>
      <c r="I963" s="34"/>
      <c r="J963" s="93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>
      <c r="A964" s="34"/>
      <c r="B964" s="34"/>
      <c r="C964" s="34"/>
      <c r="D964" s="34"/>
      <c r="E964" s="34"/>
      <c r="F964" s="34"/>
      <c r="G964" s="34"/>
      <c r="H964" s="34"/>
      <c r="I964" s="34"/>
      <c r="J964" s="93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>
      <c r="A965" s="34"/>
      <c r="B965" s="34"/>
      <c r="C965" s="34"/>
      <c r="D965" s="34"/>
      <c r="E965" s="34"/>
      <c r="F965" s="34"/>
      <c r="G965" s="34"/>
      <c r="H965" s="34"/>
      <c r="I965" s="34"/>
      <c r="J965" s="93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>
      <c r="A966" s="34"/>
      <c r="B966" s="34"/>
      <c r="C966" s="34"/>
      <c r="D966" s="34"/>
      <c r="E966" s="34"/>
      <c r="F966" s="34"/>
      <c r="G966" s="34"/>
      <c r="H966" s="34"/>
      <c r="I966" s="34"/>
      <c r="J966" s="93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>
      <c r="A967" s="34"/>
      <c r="B967" s="34"/>
      <c r="C967" s="34"/>
      <c r="D967" s="34"/>
      <c r="E967" s="34"/>
      <c r="F967" s="34"/>
      <c r="G967" s="34"/>
      <c r="H967" s="34"/>
      <c r="I967" s="34"/>
      <c r="J967" s="93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>
      <c r="A968" s="34"/>
      <c r="B968" s="34"/>
      <c r="C968" s="34"/>
      <c r="D968" s="34"/>
      <c r="E968" s="34"/>
      <c r="F968" s="34"/>
      <c r="G968" s="34"/>
      <c r="H968" s="34"/>
      <c r="I968" s="34"/>
      <c r="J968" s="93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>
      <c r="A969" s="34"/>
      <c r="B969" s="34"/>
      <c r="C969" s="34"/>
      <c r="D969" s="34"/>
      <c r="E969" s="34"/>
      <c r="F969" s="34"/>
      <c r="G969" s="34"/>
      <c r="H969" s="34"/>
      <c r="I969" s="34"/>
      <c r="J969" s="93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>
      <c r="A970" s="34"/>
      <c r="B970" s="34"/>
      <c r="C970" s="34"/>
      <c r="D970" s="34"/>
      <c r="E970" s="34"/>
      <c r="F970" s="34"/>
      <c r="G970" s="34"/>
      <c r="H970" s="34"/>
      <c r="I970" s="34"/>
      <c r="J970" s="93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>
      <c r="A971" s="34"/>
      <c r="B971" s="34"/>
      <c r="C971" s="34"/>
      <c r="D971" s="34"/>
      <c r="E971" s="34"/>
      <c r="F971" s="34"/>
      <c r="G971" s="34"/>
      <c r="H971" s="34"/>
      <c r="I971" s="34"/>
      <c r="J971" s="93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>
      <c r="A972" s="34"/>
      <c r="B972" s="34"/>
      <c r="C972" s="34"/>
      <c r="D972" s="34"/>
      <c r="E972" s="34"/>
      <c r="F972" s="34"/>
      <c r="G972" s="34"/>
      <c r="H972" s="34"/>
      <c r="I972" s="34"/>
      <c r="J972" s="93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>
      <c r="A973" s="34"/>
      <c r="B973" s="34"/>
      <c r="C973" s="34"/>
      <c r="D973" s="34"/>
      <c r="E973" s="34"/>
      <c r="F973" s="34"/>
      <c r="G973" s="34"/>
      <c r="H973" s="34"/>
      <c r="I973" s="34"/>
      <c r="J973" s="93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>
      <c r="A974" s="34"/>
      <c r="B974" s="34"/>
      <c r="C974" s="34"/>
      <c r="D974" s="34"/>
      <c r="E974" s="34"/>
      <c r="F974" s="34"/>
      <c r="G974" s="34"/>
      <c r="H974" s="34"/>
      <c r="I974" s="34"/>
      <c r="J974" s="93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>
      <c r="A975" s="34"/>
      <c r="B975" s="34"/>
      <c r="C975" s="34"/>
      <c r="D975" s="34"/>
      <c r="E975" s="34"/>
      <c r="F975" s="34"/>
      <c r="G975" s="34"/>
      <c r="H975" s="34"/>
      <c r="I975" s="34"/>
      <c r="J975" s="93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>
      <c r="A976" s="34"/>
      <c r="B976" s="34"/>
      <c r="C976" s="34"/>
      <c r="D976" s="34"/>
      <c r="E976" s="34"/>
      <c r="F976" s="34"/>
      <c r="G976" s="34"/>
      <c r="H976" s="34"/>
      <c r="I976" s="34"/>
      <c r="J976" s="93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>
      <c r="A977" s="34"/>
      <c r="B977" s="34"/>
      <c r="C977" s="34"/>
      <c r="D977" s="34"/>
      <c r="E977" s="34"/>
      <c r="F977" s="34"/>
      <c r="G977" s="34"/>
      <c r="H977" s="34"/>
      <c r="I977" s="34"/>
      <c r="J977" s="93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>
      <c r="A978" s="34"/>
      <c r="B978" s="34"/>
      <c r="C978" s="34"/>
      <c r="D978" s="34"/>
      <c r="E978" s="34"/>
      <c r="F978" s="34"/>
      <c r="G978" s="34"/>
      <c r="H978" s="34"/>
      <c r="I978" s="34"/>
      <c r="J978" s="93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>
      <c r="A979" s="34"/>
      <c r="B979" s="34"/>
      <c r="C979" s="34"/>
      <c r="D979" s="34"/>
      <c r="E979" s="34"/>
      <c r="F979" s="34"/>
      <c r="G979" s="34"/>
      <c r="H979" s="34"/>
      <c r="I979" s="34"/>
      <c r="J979" s="93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>
      <c r="A980" s="34"/>
      <c r="B980" s="34"/>
      <c r="C980" s="34"/>
      <c r="D980" s="34"/>
      <c r="E980" s="34"/>
      <c r="F980" s="34"/>
      <c r="G980" s="34"/>
      <c r="H980" s="34"/>
      <c r="I980" s="34"/>
      <c r="J980" s="93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>
      <c r="A981" s="34"/>
      <c r="B981" s="34"/>
      <c r="C981" s="34"/>
      <c r="D981" s="34"/>
      <c r="E981" s="34"/>
      <c r="F981" s="34"/>
      <c r="G981" s="34"/>
      <c r="H981" s="34"/>
      <c r="I981" s="34"/>
      <c r="J981" s="93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>
      <c r="A982" s="34"/>
      <c r="B982" s="34"/>
      <c r="C982" s="34"/>
      <c r="D982" s="34"/>
      <c r="E982" s="34"/>
      <c r="F982" s="34"/>
      <c r="G982" s="34"/>
      <c r="H982" s="34"/>
      <c r="I982" s="34"/>
      <c r="J982" s="93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>
      <c r="A983" s="34"/>
      <c r="B983" s="34"/>
      <c r="C983" s="34"/>
      <c r="D983" s="34"/>
      <c r="E983" s="34"/>
      <c r="F983" s="34"/>
      <c r="G983" s="34"/>
      <c r="H983" s="34"/>
      <c r="I983" s="34"/>
      <c r="J983" s="93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>
      <c r="A984" s="34"/>
      <c r="B984" s="34"/>
      <c r="C984" s="34"/>
      <c r="D984" s="34"/>
      <c r="E984" s="34"/>
      <c r="F984" s="34"/>
      <c r="G984" s="34"/>
      <c r="H984" s="34"/>
      <c r="I984" s="34"/>
      <c r="J984" s="93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>
      <c r="A985" s="34"/>
      <c r="B985" s="34"/>
      <c r="C985" s="34"/>
      <c r="D985" s="34"/>
      <c r="E985" s="34"/>
      <c r="F985" s="34"/>
      <c r="G985" s="34"/>
      <c r="H985" s="34"/>
      <c r="I985" s="34"/>
      <c r="J985" s="93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>
      <c r="A986" s="34"/>
      <c r="B986" s="34"/>
      <c r="C986" s="34"/>
      <c r="D986" s="34"/>
      <c r="E986" s="34"/>
      <c r="F986" s="34"/>
      <c r="G986" s="34"/>
      <c r="H986" s="34"/>
      <c r="I986" s="34"/>
      <c r="J986" s="93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>
      <c r="A987" s="34"/>
      <c r="B987" s="34"/>
      <c r="C987" s="34"/>
      <c r="D987" s="34"/>
      <c r="E987" s="34"/>
      <c r="F987" s="34"/>
      <c r="G987" s="34"/>
      <c r="H987" s="34"/>
      <c r="I987" s="34"/>
      <c r="J987" s="93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>
      <c r="A988" s="34"/>
      <c r="B988" s="34"/>
      <c r="C988" s="34"/>
      <c r="D988" s="34"/>
      <c r="E988" s="34"/>
      <c r="F988" s="34"/>
      <c r="G988" s="34"/>
      <c r="H988" s="34"/>
      <c r="I988" s="34"/>
      <c r="J988" s="93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>
      <c r="A989" s="34"/>
      <c r="B989" s="34"/>
      <c r="C989" s="34"/>
      <c r="D989" s="34"/>
      <c r="E989" s="34"/>
      <c r="F989" s="34"/>
      <c r="G989" s="34"/>
      <c r="H989" s="34"/>
      <c r="I989" s="34"/>
      <c r="J989" s="93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  <row r="990">
      <c r="A990" s="34"/>
      <c r="B990" s="34"/>
      <c r="C990" s="34"/>
      <c r="D990" s="34"/>
      <c r="E990" s="34"/>
      <c r="F990" s="34"/>
      <c r="G990" s="34"/>
      <c r="H990" s="34"/>
      <c r="I990" s="34"/>
      <c r="J990" s="93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</row>
    <row r="991">
      <c r="A991" s="34"/>
      <c r="B991" s="34"/>
      <c r="C991" s="34"/>
      <c r="D991" s="34"/>
      <c r="E991" s="34"/>
      <c r="F991" s="34"/>
      <c r="G991" s="34"/>
      <c r="H991" s="34"/>
      <c r="I991" s="34"/>
      <c r="J991" s="93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</row>
    <row r="992">
      <c r="A992" s="34"/>
      <c r="B992" s="34"/>
      <c r="C992" s="34"/>
      <c r="D992" s="34"/>
      <c r="E992" s="34"/>
      <c r="F992" s="34"/>
      <c r="G992" s="34"/>
      <c r="H992" s="34"/>
      <c r="I992" s="34"/>
      <c r="J992" s="93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</row>
    <row r="993">
      <c r="A993" s="34"/>
      <c r="B993" s="34"/>
      <c r="C993" s="34"/>
      <c r="D993" s="34"/>
      <c r="E993" s="34"/>
      <c r="F993" s="34"/>
      <c r="G993" s="34"/>
      <c r="H993" s="34"/>
      <c r="I993" s="34"/>
      <c r="J993" s="93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</row>
    <row r="994">
      <c r="A994" s="34"/>
      <c r="B994" s="34"/>
      <c r="C994" s="34"/>
      <c r="D994" s="34"/>
      <c r="E994" s="34"/>
      <c r="F994" s="34"/>
      <c r="G994" s="34"/>
      <c r="H994" s="34"/>
      <c r="I994" s="34"/>
      <c r="J994" s="93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</row>
    <row r="995">
      <c r="A995" s="34"/>
      <c r="B995" s="34"/>
      <c r="C995" s="34"/>
      <c r="D995" s="34"/>
      <c r="E995" s="34"/>
      <c r="F995" s="34"/>
      <c r="G995" s="34"/>
      <c r="H995" s="34"/>
      <c r="I995" s="34"/>
      <c r="J995" s="93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</row>
    <row r="996">
      <c r="A996" s="34"/>
      <c r="B996" s="34"/>
      <c r="C996" s="34"/>
      <c r="D996" s="34"/>
      <c r="E996" s="34"/>
      <c r="F996" s="34"/>
      <c r="G996" s="34"/>
      <c r="H996" s="34"/>
      <c r="I996" s="34"/>
      <c r="J996" s="93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</row>
    <row r="997">
      <c r="A997" s="34"/>
      <c r="B997" s="34"/>
      <c r="C997" s="34"/>
      <c r="D997" s="34"/>
      <c r="E997" s="34"/>
      <c r="F997" s="34"/>
      <c r="G997" s="34"/>
      <c r="H997" s="34"/>
      <c r="I997" s="34"/>
      <c r="J997" s="93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</row>
    <row r="998">
      <c r="A998" s="34"/>
      <c r="B998" s="34"/>
      <c r="C998" s="34"/>
      <c r="D998" s="34"/>
      <c r="E998" s="34"/>
      <c r="F998" s="34"/>
      <c r="G998" s="34"/>
      <c r="H998" s="34"/>
      <c r="I998" s="34"/>
      <c r="J998" s="93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</row>
    <row r="999">
      <c r="A999" s="34"/>
      <c r="B999" s="34"/>
      <c r="C999" s="34"/>
      <c r="D999" s="34"/>
      <c r="E999" s="34"/>
      <c r="F999" s="34"/>
      <c r="G999" s="34"/>
      <c r="H999" s="34"/>
      <c r="I999" s="34"/>
      <c r="J999" s="93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</row>
    <row r="1000">
      <c r="A1000" s="34"/>
      <c r="B1000" s="34"/>
      <c r="C1000" s="34"/>
      <c r="D1000" s="34"/>
      <c r="E1000" s="34"/>
      <c r="F1000" s="34"/>
      <c r="G1000" s="34"/>
      <c r="H1000" s="34"/>
      <c r="I1000" s="34"/>
      <c r="J1000" s="93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</row>
    <row r="1001">
      <c r="A1001" s="34"/>
      <c r="B1001" s="34"/>
      <c r="C1001" s="34"/>
      <c r="D1001" s="34"/>
      <c r="E1001" s="34"/>
      <c r="F1001" s="34"/>
      <c r="G1001" s="34"/>
      <c r="H1001" s="34"/>
      <c r="I1001" s="34"/>
      <c r="J1001" s="93"/>
      <c r="K1001" s="34"/>
      <c r="L1001" s="34"/>
      <c r="M1001" s="34"/>
      <c r="N1001" s="34"/>
      <c r="O1001" s="34"/>
      <c r="P1001" s="34"/>
      <c r="Q1001" s="34"/>
      <c r="R1001" s="34"/>
      <c r="S1001" s="34"/>
      <c r="T1001" s="34"/>
      <c r="U1001" s="34"/>
      <c r="V1001" s="34"/>
      <c r="W1001" s="34"/>
      <c r="X1001" s="34"/>
      <c r="Y1001" s="34"/>
      <c r="Z1001" s="34"/>
    </row>
    <row r="1002">
      <c r="A1002" s="34"/>
      <c r="B1002" s="34"/>
      <c r="C1002" s="34"/>
      <c r="D1002" s="34"/>
      <c r="E1002" s="34"/>
      <c r="F1002" s="34"/>
      <c r="G1002" s="34"/>
      <c r="H1002" s="34"/>
      <c r="I1002" s="34"/>
      <c r="J1002" s="93"/>
      <c r="K1002" s="34"/>
      <c r="L1002" s="34"/>
      <c r="M1002" s="34"/>
      <c r="N1002" s="34"/>
      <c r="O1002" s="34"/>
      <c r="P1002" s="34"/>
      <c r="Q1002" s="34"/>
      <c r="R1002" s="34"/>
      <c r="S1002" s="34"/>
      <c r="T1002" s="34"/>
      <c r="U1002" s="34"/>
      <c r="V1002" s="34"/>
      <c r="W1002" s="34"/>
      <c r="X1002" s="34"/>
      <c r="Y1002" s="34"/>
      <c r="Z1002" s="34"/>
    </row>
    <row r="1003">
      <c r="A1003" s="34"/>
      <c r="B1003" s="34"/>
      <c r="C1003" s="34"/>
      <c r="D1003" s="34"/>
      <c r="E1003" s="34"/>
      <c r="F1003" s="34"/>
      <c r="G1003" s="34"/>
      <c r="H1003" s="34"/>
      <c r="I1003" s="34"/>
      <c r="J1003" s="93"/>
      <c r="K1003" s="34"/>
      <c r="L1003" s="34"/>
      <c r="M1003" s="34"/>
      <c r="N1003" s="34"/>
      <c r="O1003" s="34"/>
      <c r="P1003" s="34"/>
      <c r="Q1003" s="34"/>
      <c r="R1003" s="34"/>
      <c r="S1003" s="34"/>
      <c r="T1003" s="34"/>
      <c r="U1003" s="34"/>
      <c r="V1003" s="34"/>
      <c r="W1003" s="34"/>
      <c r="X1003" s="34"/>
      <c r="Y1003" s="34"/>
      <c r="Z1003" s="34"/>
    </row>
    <row r="1004">
      <c r="A1004" s="34"/>
      <c r="B1004" s="34"/>
      <c r="C1004" s="34"/>
      <c r="D1004" s="34"/>
      <c r="E1004" s="34"/>
      <c r="F1004" s="34"/>
      <c r="G1004" s="34"/>
      <c r="H1004" s="34"/>
      <c r="I1004" s="34"/>
      <c r="J1004" s="93"/>
      <c r="K1004" s="34"/>
      <c r="L1004" s="34"/>
      <c r="M1004" s="34"/>
      <c r="N1004" s="34"/>
      <c r="O1004" s="34"/>
      <c r="P1004" s="34"/>
      <c r="Q1004" s="34"/>
      <c r="R1004" s="34"/>
      <c r="S1004" s="34"/>
      <c r="T1004" s="34"/>
      <c r="U1004" s="34"/>
      <c r="V1004" s="34"/>
      <c r="W1004" s="34"/>
      <c r="X1004" s="34"/>
      <c r="Y1004" s="34"/>
      <c r="Z1004" s="34"/>
    </row>
    <row r="1005">
      <c r="A1005" s="34"/>
      <c r="B1005" s="34"/>
      <c r="C1005" s="34"/>
      <c r="D1005" s="34"/>
      <c r="E1005" s="34"/>
      <c r="F1005" s="34"/>
      <c r="G1005" s="34"/>
      <c r="H1005" s="34"/>
      <c r="I1005" s="34"/>
      <c r="J1005" s="93"/>
      <c r="K1005" s="34"/>
      <c r="L1005" s="34"/>
      <c r="M1005" s="34"/>
      <c r="N1005" s="34"/>
      <c r="O1005" s="34"/>
      <c r="P1005" s="34"/>
      <c r="Q1005" s="34"/>
      <c r="R1005" s="34"/>
      <c r="S1005" s="34"/>
      <c r="T1005" s="34"/>
      <c r="U1005" s="34"/>
      <c r="V1005" s="34"/>
      <c r="W1005" s="34"/>
      <c r="X1005" s="34"/>
      <c r="Y1005" s="34"/>
      <c r="Z1005" s="34"/>
    </row>
    <row r="1006">
      <c r="A1006" s="34"/>
      <c r="B1006" s="34"/>
      <c r="C1006" s="34"/>
      <c r="D1006" s="34"/>
      <c r="E1006" s="34"/>
      <c r="F1006" s="34"/>
      <c r="G1006" s="34"/>
      <c r="H1006" s="34"/>
      <c r="I1006" s="34"/>
      <c r="J1006" s="93"/>
      <c r="K1006" s="34"/>
      <c r="L1006" s="34"/>
      <c r="M1006" s="34"/>
      <c r="N1006" s="34"/>
      <c r="O1006" s="34"/>
      <c r="P1006" s="34"/>
      <c r="Q1006" s="34"/>
      <c r="R1006" s="34"/>
      <c r="S1006" s="34"/>
      <c r="T1006" s="34"/>
      <c r="U1006" s="34"/>
      <c r="V1006" s="34"/>
      <c r="W1006" s="34"/>
      <c r="X1006" s="34"/>
      <c r="Y1006" s="34"/>
      <c r="Z1006" s="34"/>
    </row>
    <row r="1007">
      <c r="A1007" s="34"/>
      <c r="B1007" s="34"/>
      <c r="C1007" s="34"/>
      <c r="D1007" s="34"/>
      <c r="E1007" s="34"/>
      <c r="F1007" s="34"/>
      <c r="G1007" s="34"/>
      <c r="H1007" s="34"/>
      <c r="I1007" s="34"/>
      <c r="J1007" s="93"/>
      <c r="K1007" s="34"/>
      <c r="L1007" s="34"/>
      <c r="M1007" s="34"/>
      <c r="N1007" s="34"/>
      <c r="O1007" s="34"/>
      <c r="P1007" s="34"/>
      <c r="Q1007" s="34"/>
      <c r="R1007" s="34"/>
      <c r="S1007" s="34"/>
      <c r="T1007" s="34"/>
      <c r="U1007" s="34"/>
      <c r="V1007" s="34"/>
      <c r="W1007" s="34"/>
      <c r="X1007" s="34"/>
      <c r="Y1007" s="34"/>
      <c r="Z1007" s="34"/>
    </row>
    <row r="1008">
      <c r="A1008" s="34"/>
      <c r="B1008" s="34"/>
      <c r="C1008" s="34"/>
      <c r="D1008" s="34"/>
      <c r="E1008" s="34"/>
      <c r="F1008" s="34"/>
      <c r="G1008" s="34"/>
      <c r="H1008" s="34"/>
      <c r="I1008" s="34"/>
      <c r="J1008" s="93"/>
      <c r="K1008" s="34"/>
      <c r="L1008" s="34"/>
      <c r="M1008" s="34"/>
      <c r="N1008" s="34"/>
      <c r="O1008" s="34"/>
      <c r="P1008" s="34"/>
      <c r="Q1008" s="34"/>
      <c r="R1008" s="34"/>
      <c r="S1008" s="34"/>
      <c r="T1008" s="34"/>
      <c r="U1008" s="34"/>
      <c r="V1008" s="34"/>
      <c r="W1008" s="34"/>
      <c r="X1008" s="34"/>
      <c r="Y1008" s="34"/>
      <c r="Z1008" s="34"/>
    </row>
    <row r="1009">
      <c r="A1009" s="34"/>
      <c r="B1009" s="34"/>
      <c r="C1009" s="34"/>
      <c r="D1009" s="34"/>
      <c r="E1009" s="34"/>
      <c r="F1009" s="34"/>
      <c r="G1009" s="34"/>
      <c r="H1009" s="34"/>
      <c r="I1009" s="34"/>
      <c r="J1009" s="93"/>
      <c r="K1009" s="34"/>
      <c r="L1009" s="34"/>
      <c r="M1009" s="34"/>
      <c r="N1009" s="34"/>
      <c r="O1009" s="34"/>
      <c r="P1009" s="34"/>
      <c r="Q1009" s="34"/>
      <c r="R1009" s="34"/>
      <c r="S1009" s="34"/>
      <c r="T1009" s="34"/>
      <c r="U1009" s="34"/>
      <c r="V1009" s="34"/>
      <c r="W1009" s="34"/>
      <c r="X1009" s="34"/>
      <c r="Y1009" s="34"/>
      <c r="Z1009" s="34"/>
    </row>
    <row r="1010">
      <c r="A1010" s="34"/>
      <c r="B1010" s="34"/>
      <c r="C1010" s="34"/>
      <c r="D1010" s="34"/>
      <c r="E1010" s="34"/>
      <c r="F1010" s="34"/>
      <c r="G1010" s="34"/>
      <c r="H1010" s="34"/>
      <c r="I1010" s="34"/>
      <c r="J1010" s="93"/>
      <c r="K1010" s="34"/>
      <c r="L1010" s="34"/>
      <c r="M1010" s="34"/>
      <c r="N1010" s="34"/>
      <c r="O1010" s="34"/>
      <c r="P1010" s="34"/>
      <c r="Q1010" s="34"/>
      <c r="R1010" s="34"/>
      <c r="S1010" s="34"/>
      <c r="T1010" s="34"/>
      <c r="U1010" s="34"/>
      <c r="V1010" s="34"/>
      <c r="W1010" s="34"/>
      <c r="X1010" s="34"/>
      <c r="Y1010" s="34"/>
      <c r="Z1010" s="34"/>
    </row>
    <row r="1011">
      <c r="A1011" s="34"/>
      <c r="B1011" s="34"/>
      <c r="C1011" s="34"/>
      <c r="D1011" s="34"/>
      <c r="E1011" s="34"/>
      <c r="F1011" s="34"/>
      <c r="G1011" s="34"/>
      <c r="H1011" s="34"/>
      <c r="I1011" s="34"/>
      <c r="J1011" s="93"/>
      <c r="K1011" s="34"/>
      <c r="L1011" s="34"/>
      <c r="M1011" s="34"/>
      <c r="N1011" s="34"/>
      <c r="O1011" s="34"/>
      <c r="P1011" s="34"/>
      <c r="Q1011" s="34"/>
      <c r="R1011" s="34"/>
      <c r="S1011" s="34"/>
      <c r="T1011" s="34"/>
      <c r="U1011" s="34"/>
      <c r="V1011" s="34"/>
      <c r="W1011" s="34"/>
      <c r="X1011" s="34"/>
      <c r="Y1011" s="34"/>
      <c r="Z1011" s="34"/>
    </row>
    <row r="1012">
      <c r="A1012" s="34"/>
      <c r="B1012" s="34"/>
      <c r="C1012" s="34"/>
      <c r="D1012" s="34"/>
      <c r="E1012" s="34"/>
      <c r="F1012" s="34"/>
      <c r="G1012" s="34"/>
      <c r="H1012" s="34"/>
      <c r="I1012" s="34"/>
      <c r="J1012" s="93"/>
      <c r="K1012" s="34"/>
      <c r="L1012" s="34"/>
      <c r="M1012" s="34"/>
      <c r="N1012" s="34"/>
      <c r="O1012" s="34"/>
      <c r="P1012" s="34"/>
      <c r="Q1012" s="34"/>
      <c r="R1012" s="34"/>
      <c r="S1012" s="34"/>
      <c r="T1012" s="34"/>
      <c r="U1012" s="34"/>
      <c r="V1012" s="34"/>
      <c r="W1012" s="34"/>
      <c r="X1012" s="34"/>
      <c r="Y1012" s="34"/>
      <c r="Z1012" s="34"/>
    </row>
    <row r="1013">
      <c r="A1013" s="34"/>
      <c r="B1013" s="34"/>
      <c r="C1013" s="34"/>
      <c r="D1013" s="34"/>
      <c r="E1013" s="34"/>
      <c r="F1013" s="34"/>
      <c r="G1013" s="34"/>
      <c r="H1013" s="34"/>
      <c r="I1013" s="34"/>
      <c r="J1013" s="93"/>
      <c r="K1013" s="34"/>
      <c r="L1013" s="34"/>
      <c r="M1013" s="34"/>
      <c r="N1013" s="34"/>
      <c r="O1013" s="34"/>
      <c r="P1013" s="34"/>
      <c r="Q1013" s="34"/>
      <c r="R1013" s="34"/>
      <c r="S1013" s="34"/>
      <c r="T1013" s="34"/>
      <c r="U1013" s="34"/>
      <c r="V1013" s="34"/>
      <c r="W1013" s="34"/>
      <c r="X1013" s="34"/>
      <c r="Y1013" s="34"/>
      <c r="Z1013" s="34"/>
    </row>
    <row r="1014">
      <c r="A1014" s="34"/>
      <c r="B1014" s="34"/>
      <c r="C1014" s="34"/>
      <c r="D1014" s="34"/>
      <c r="E1014" s="34"/>
      <c r="F1014" s="34"/>
      <c r="G1014" s="34"/>
      <c r="H1014" s="34"/>
      <c r="I1014" s="34"/>
      <c r="J1014" s="93"/>
      <c r="K1014" s="34"/>
      <c r="L1014" s="34"/>
      <c r="M1014" s="34"/>
      <c r="N1014" s="34"/>
      <c r="O1014" s="34"/>
      <c r="P1014" s="34"/>
      <c r="Q1014" s="34"/>
      <c r="R1014" s="34"/>
      <c r="S1014" s="34"/>
      <c r="T1014" s="34"/>
      <c r="U1014" s="34"/>
      <c r="V1014" s="34"/>
      <c r="W1014" s="34"/>
      <c r="X1014" s="34"/>
      <c r="Y1014" s="34"/>
      <c r="Z1014" s="34"/>
    </row>
    <row r="1015">
      <c r="A1015" s="34"/>
      <c r="B1015" s="34"/>
      <c r="C1015" s="34"/>
      <c r="D1015" s="34"/>
      <c r="E1015" s="34"/>
      <c r="F1015" s="34"/>
      <c r="G1015" s="34"/>
      <c r="H1015" s="34"/>
      <c r="I1015" s="34"/>
      <c r="J1015" s="93"/>
      <c r="K1015" s="34"/>
      <c r="L1015" s="34"/>
      <c r="M1015" s="34"/>
      <c r="N1015" s="34"/>
      <c r="O1015" s="34"/>
      <c r="P1015" s="34"/>
      <c r="Q1015" s="34"/>
      <c r="R1015" s="34"/>
      <c r="S1015" s="34"/>
      <c r="T1015" s="34"/>
      <c r="U1015" s="34"/>
      <c r="V1015" s="34"/>
      <c r="W1015" s="34"/>
      <c r="X1015" s="34"/>
      <c r="Y1015" s="34"/>
      <c r="Z1015" s="34"/>
    </row>
    <row r="1016">
      <c r="A1016" s="34"/>
      <c r="B1016" s="34"/>
      <c r="C1016" s="34"/>
      <c r="D1016" s="34"/>
      <c r="E1016" s="34"/>
      <c r="F1016" s="34"/>
      <c r="G1016" s="34"/>
      <c r="H1016" s="34"/>
      <c r="I1016" s="34"/>
      <c r="J1016" s="93"/>
      <c r="K1016" s="34"/>
      <c r="L1016" s="34"/>
      <c r="M1016" s="34"/>
      <c r="N1016" s="34"/>
      <c r="O1016" s="34"/>
      <c r="P1016" s="34"/>
      <c r="Q1016" s="34"/>
      <c r="R1016" s="34"/>
      <c r="S1016" s="34"/>
      <c r="T1016" s="34"/>
      <c r="U1016" s="34"/>
      <c r="V1016" s="34"/>
      <c r="W1016" s="34"/>
      <c r="X1016" s="34"/>
      <c r="Y1016" s="34"/>
      <c r="Z1016" s="34"/>
    </row>
    <row r="1017">
      <c r="A1017" s="34"/>
      <c r="B1017" s="34"/>
      <c r="C1017" s="34"/>
      <c r="D1017" s="34"/>
      <c r="E1017" s="34"/>
      <c r="F1017" s="34"/>
      <c r="G1017" s="34"/>
      <c r="H1017" s="34"/>
      <c r="I1017" s="34"/>
      <c r="J1017" s="93"/>
      <c r="K1017" s="34"/>
      <c r="L1017" s="34"/>
      <c r="M1017" s="34"/>
      <c r="N1017" s="34"/>
      <c r="O1017" s="34"/>
      <c r="P1017" s="34"/>
      <c r="Q1017" s="34"/>
      <c r="R1017" s="34"/>
      <c r="S1017" s="34"/>
      <c r="T1017" s="34"/>
      <c r="U1017" s="34"/>
      <c r="V1017" s="34"/>
      <c r="W1017" s="34"/>
      <c r="X1017" s="34"/>
      <c r="Y1017" s="34"/>
      <c r="Z1017" s="34"/>
    </row>
    <row r="1018">
      <c r="A1018" s="34"/>
      <c r="B1018" s="34"/>
      <c r="C1018" s="34"/>
      <c r="D1018" s="34"/>
      <c r="E1018" s="34"/>
      <c r="F1018" s="34"/>
      <c r="G1018" s="34"/>
      <c r="H1018" s="34"/>
      <c r="I1018" s="34"/>
      <c r="J1018" s="93"/>
      <c r="K1018" s="34"/>
      <c r="L1018" s="34"/>
      <c r="M1018" s="34"/>
      <c r="N1018" s="34"/>
      <c r="O1018" s="34"/>
      <c r="P1018" s="34"/>
      <c r="Q1018" s="34"/>
      <c r="R1018" s="34"/>
      <c r="S1018" s="34"/>
      <c r="T1018" s="34"/>
      <c r="U1018" s="34"/>
      <c r="V1018" s="34"/>
      <c r="W1018" s="34"/>
      <c r="X1018" s="34"/>
      <c r="Y1018" s="34"/>
      <c r="Z1018" s="34"/>
    </row>
    <row r="1019">
      <c r="A1019" s="34"/>
      <c r="B1019" s="34"/>
      <c r="C1019" s="34"/>
      <c r="D1019" s="34"/>
      <c r="E1019" s="34"/>
      <c r="F1019" s="34"/>
      <c r="G1019" s="34"/>
      <c r="H1019" s="34"/>
      <c r="I1019" s="34"/>
      <c r="J1019" s="93"/>
      <c r="K1019" s="34"/>
      <c r="L1019" s="34"/>
      <c r="M1019" s="34"/>
      <c r="N1019" s="34"/>
      <c r="O1019" s="34"/>
      <c r="P1019" s="34"/>
      <c r="Q1019" s="34"/>
      <c r="R1019" s="34"/>
      <c r="S1019" s="34"/>
      <c r="T1019" s="34"/>
      <c r="U1019" s="34"/>
      <c r="V1019" s="34"/>
      <c r="W1019" s="34"/>
      <c r="X1019" s="34"/>
      <c r="Y1019" s="34"/>
      <c r="Z1019" s="34"/>
    </row>
    <row r="1020">
      <c r="A1020" s="34"/>
      <c r="B1020" s="34"/>
      <c r="C1020" s="34"/>
      <c r="D1020" s="34"/>
      <c r="E1020" s="34"/>
      <c r="F1020" s="34"/>
      <c r="G1020" s="34"/>
      <c r="H1020" s="34"/>
      <c r="I1020" s="34"/>
      <c r="J1020" s="93"/>
      <c r="K1020" s="34"/>
      <c r="L1020" s="34"/>
      <c r="M1020" s="34"/>
      <c r="N1020" s="34"/>
      <c r="O1020" s="34"/>
      <c r="P1020" s="34"/>
      <c r="Q1020" s="34"/>
      <c r="R1020" s="34"/>
      <c r="S1020" s="34"/>
      <c r="T1020" s="34"/>
      <c r="U1020" s="34"/>
      <c r="V1020" s="34"/>
      <c r="W1020" s="34"/>
      <c r="X1020" s="34"/>
      <c r="Y1020" s="34"/>
      <c r="Z1020" s="34"/>
    </row>
    <row r="1021">
      <c r="A1021" s="34"/>
      <c r="B1021" s="34"/>
      <c r="C1021" s="34"/>
      <c r="D1021" s="34"/>
      <c r="E1021" s="34"/>
      <c r="F1021" s="34"/>
      <c r="G1021" s="34"/>
      <c r="H1021" s="34"/>
      <c r="I1021" s="34"/>
      <c r="J1021" s="93"/>
      <c r="K1021" s="34"/>
      <c r="L1021" s="34"/>
      <c r="M1021" s="34"/>
      <c r="N1021" s="34"/>
      <c r="O1021" s="34"/>
      <c r="P1021" s="34"/>
      <c r="Q1021" s="34"/>
      <c r="R1021" s="34"/>
      <c r="S1021" s="34"/>
      <c r="T1021" s="34"/>
      <c r="U1021" s="34"/>
      <c r="V1021" s="34"/>
      <c r="W1021" s="34"/>
      <c r="X1021" s="34"/>
      <c r="Y1021" s="34"/>
      <c r="Z1021" s="34"/>
    </row>
    <row r="1022">
      <c r="A1022" s="34"/>
      <c r="B1022" s="34"/>
      <c r="C1022" s="34"/>
      <c r="D1022" s="34"/>
      <c r="E1022" s="34"/>
      <c r="F1022" s="34"/>
      <c r="G1022" s="34"/>
      <c r="H1022" s="34"/>
      <c r="I1022" s="34"/>
      <c r="J1022" s="93"/>
      <c r="K1022" s="34"/>
      <c r="L1022" s="34"/>
      <c r="M1022" s="34"/>
      <c r="N1022" s="34"/>
      <c r="O1022" s="34"/>
      <c r="P1022" s="34"/>
      <c r="Q1022" s="34"/>
      <c r="R1022" s="34"/>
      <c r="S1022" s="34"/>
      <c r="T1022" s="34"/>
      <c r="U1022" s="34"/>
      <c r="V1022" s="34"/>
      <c r="W1022" s="34"/>
      <c r="X1022" s="34"/>
      <c r="Y1022" s="34"/>
      <c r="Z1022" s="34"/>
    </row>
    <row r="1023">
      <c r="A1023" s="34"/>
      <c r="B1023" s="34"/>
      <c r="C1023" s="34"/>
      <c r="D1023" s="34"/>
      <c r="E1023" s="34"/>
      <c r="F1023" s="34"/>
      <c r="G1023" s="34"/>
      <c r="H1023" s="34"/>
      <c r="I1023" s="34"/>
      <c r="J1023" s="93"/>
      <c r="K1023" s="34"/>
      <c r="L1023" s="34"/>
      <c r="M1023" s="34"/>
      <c r="N1023" s="34"/>
      <c r="O1023" s="34"/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</row>
    <row r="1024">
      <c r="A1024" s="34"/>
      <c r="B1024" s="34"/>
      <c r="C1024" s="34"/>
      <c r="D1024" s="34"/>
      <c r="E1024" s="34"/>
      <c r="F1024" s="34"/>
      <c r="G1024" s="34"/>
      <c r="H1024" s="34"/>
      <c r="I1024" s="34"/>
      <c r="J1024" s="93"/>
      <c r="K1024" s="34"/>
      <c r="L1024" s="34"/>
      <c r="M1024" s="34"/>
      <c r="N1024" s="34"/>
      <c r="O1024" s="34"/>
      <c r="P1024" s="34"/>
      <c r="Q1024" s="34"/>
      <c r="R1024" s="34"/>
      <c r="S1024" s="34"/>
      <c r="T1024" s="34"/>
      <c r="U1024" s="34"/>
      <c r="V1024" s="34"/>
      <c r="W1024" s="34"/>
      <c r="X1024" s="34"/>
      <c r="Y1024" s="34"/>
      <c r="Z1024" s="34"/>
    </row>
    <row r="1025">
      <c r="A1025" s="34"/>
      <c r="B1025" s="34"/>
      <c r="C1025" s="34"/>
      <c r="D1025" s="34"/>
      <c r="E1025" s="34"/>
      <c r="F1025" s="34"/>
      <c r="G1025" s="34"/>
      <c r="H1025" s="34"/>
      <c r="I1025" s="34"/>
      <c r="J1025" s="93"/>
      <c r="K1025" s="34"/>
      <c r="L1025" s="34"/>
      <c r="M1025" s="34"/>
      <c r="N1025" s="34"/>
      <c r="O1025" s="34"/>
      <c r="P1025" s="34"/>
      <c r="Q1025" s="34"/>
      <c r="R1025" s="34"/>
      <c r="S1025" s="34"/>
      <c r="T1025" s="34"/>
      <c r="U1025" s="34"/>
      <c r="V1025" s="34"/>
      <c r="W1025" s="34"/>
      <c r="X1025" s="34"/>
      <c r="Y1025" s="34"/>
      <c r="Z1025" s="34"/>
    </row>
    <row r="1026">
      <c r="A1026" s="34"/>
      <c r="B1026" s="34"/>
      <c r="C1026" s="34"/>
      <c r="D1026" s="34"/>
      <c r="E1026" s="34"/>
      <c r="F1026" s="34"/>
      <c r="G1026" s="34"/>
      <c r="H1026" s="34"/>
      <c r="I1026" s="34"/>
      <c r="J1026" s="93"/>
      <c r="K1026" s="34"/>
      <c r="L1026" s="34"/>
      <c r="M1026" s="34"/>
      <c r="N1026" s="34"/>
      <c r="O1026" s="34"/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</row>
    <row r="1027">
      <c r="A1027" s="34"/>
      <c r="B1027" s="34"/>
      <c r="C1027" s="34"/>
      <c r="D1027" s="34"/>
      <c r="E1027" s="34"/>
      <c r="F1027" s="34"/>
      <c r="G1027" s="34"/>
      <c r="H1027" s="34"/>
      <c r="I1027" s="34"/>
      <c r="J1027" s="93"/>
      <c r="K1027" s="34"/>
      <c r="L1027" s="34"/>
      <c r="M1027" s="34"/>
      <c r="N1027" s="34"/>
      <c r="O1027" s="34"/>
      <c r="P1027" s="34"/>
      <c r="Q1027" s="34"/>
      <c r="R1027" s="34"/>
      <c r="S1027" s="34"/>
      <c r="T1027" s="34"/>
      <c r="U1027" s="34"/>
      <c r="V1027" s="34"/>
      <c r="W1027" s="34"/>
      <c r="X1027" s="34"/>
      <c r="Y1027" s="34"/>
      <c r="Z1027" s="34"/>
    </row>
    <row r="1028">
      <c r="A1028" s="34"/>
      <c r="B1028" s="34"/>
      <c r="C1028" s="34"/>
      <c r="D1028" s="34"/>
      <c r="E1028" s="34"/>
      <c r="F1028" s="34"/>
      <c r="G1028" s="34"/>
      <c r="H1028" s="34"/>
      <c r="I1028" s="34"/>
      <c r="J1028" s="93"/>
      <c r="K1028" s="34"/>
      <c r="L1028" s="34"/>
      <c r="M1028" s="34"/>
      <c r="N1028" s="34"/>
      <c r="O1028" s="34"/>
      <c r="P1028" s="34"/>
      <c r="Q1028" s="34"/>
      <c r="R1028" s="34"/>
      <c r="S1028" s="34"/>
      <c r="T1028" s="34"/>
      <c r="U1028" s="34"/>
      <c r="V1028" s="34"/>
      <c r="W1028" s="34"/>
      <c r="X1028" s="34"/>
      <c r="Y1028" s="34"/>
      <c r="Z1028" s="34"/>
    </row>
    <row r="1029">
      <c r="A1029" s="34"/>
      <c r="B1029" s="34"/>
      <c r="C1029" s="34"/>
      <c r="D1029" s="34"/>
      <c r="E1029" s="34"/>
      <c r="F1029" s="34"/>
      <c r="G1029" s="34"/>
      <c r="H1029" s="34"/>
      <c r="I1029" s="34"/>
      <c r="J1029" s="93"/>
      <c r="K1029" s="34"/>
      <c r="L1029" s="34"/>
      <c r="M1029" s="34"/>
      <c r="N1029" s="34"/>
      <c r="O1029" s="34"/>
      <c r="P1029" s="34"/>
      <c r="Q1029" s="34"/>
      <c r="R1029" s="34"/>
      <c r="S1029" s="34"/>
      <c r="T1029" s="34"/>
      <c r="U1029" s="34"/>
      <c r="V1029" s="34"/>
      <c r="W1029" s="34"/>
      <c r="X1029" s="34"/>
      <c r="Y1029" s="34"/>
      <c r="Z1029" s="34"/>
    </row>
    <row r="1030">
      <c r="A1030" s="34"/>
      <c r="B1030" s="34"/>
      <c r="C1030" s="34"/>
      <c r="D1030" s="34"/>
      <c r="E1030" s="34"/>
      <c r="F1030" s="34"/>
      <c r="G1030" s="34"/>
      <c r="H1030" s="34"/>
      <c r="I1030" s="34"/>
      <c r="J1030" s="93"/>
      <c r="K1030" s="34"/>
      <c r="L1030" s="34"/>
      <c r="M1030" s="34"/>
      <c r="N1030" s="34"/>
      <c r="O1030" s="34"/>
      <c r="P1030" s="34"/>
      <c r="Q1030" s="34"/>
      <c r="R1030" s="34"/>
      <c r="S1030" s="34"/>
      <c r="T1030" s="34"/>
      <c r="U1030" s="34"/>
      <c r="V1030" s="34"/>
      <c r="W1030" s="34"/>
      <c r="X1030" s="34"/>
      <c r="Y1030" s="34"/>
      <c r="Z1030" s="34"/>
    </row>
    <row r="1031">
      <c r="A1031" s="34"/>
      <c r="B1031" s="34"/>
      <c r="C1031" s="34"/>
      <c r="D1031" s="34"/>
      <c r="E1031" s="34"/>
      <c r="F1031" s="34"/>
      <c r="G1031" s="34"/>
      <c r="H1031" s="34"/>
      <c r="I1031" s="34"/>
      <c r="J1031" s="93"/>
      <c r="K1031" s="34"/>
      <c r="L1031" s="34"/>
      <c r="M1031" s="34"/>
      <c r="N1031" s="34"/>
      <c r="O1031" s="34"/>
      <c r="P1031" s="34"/>
      <c r="Q1031" s="34"/>
      <c r="R1031" s="34"/>
      <c r="S1031" s="34"/>
      <c r="T1031" s="34"/>
      <c r="U1031" s="34"/>
      <c r="V1031" s="34"/>
      <c r="W1031" s="34"/>
      <c r="X1031" s="34"/>
      <c r="Y1031" s="34"/>
      <c r="Z1031" s="34"/>
    </row>
    <row r="1032">
      <c r="A1032" s="34"/>
      <c r="B1032" s="34"/>
      <c r="C1032" s="34"/>
      <c r="D1032" s="34"/>
      <c r="E1032" s="34"/>
      <c r="F1032" s="34"/>
      <c r="G1032" s="34"/>
      <c r="H1032" s="34"/>
      <c r="I1032" s="34"/>
      <c r="J1032" s="93"/>
      <c r="K1032" s="34"/>
      <c r="L1032" s="34"/>
      <c r="M1032" s="34"/>
      <c r="N1032" s="34"/>
      <c r="O1032" s="34"/>
      <c r="P1032" s="34"/>
      <c r="Q1032" s="34"/>
      <c r="R1032" s="34"/>
      <c r="S1032" s="34"/>
      <c r="T1032" s="34"/>
      <c r="U1032" s="34"/>
      <c r="V1032" s="34"/>
      <c r="W1032" s="34"/>
      <c r="X1032" s="34"/>
      <c r="Y1032" s="34"/>
      <c r="Z1032" s="34"/>
    </row>
    <row r="1033">
      <c r="A1033" s="34"/>
      <c r="B1033" s="34"/>
      <c r="C1033" s="34"/>
      <c r="D1033" s="34"/>
      <c r="E1033" s="34"/>
      <c r="F1033" s="34"/>
      <c r="G1033" s="34"/>
      <c r="H1033" s="34"/>
      <c r="I1033" s="34"/>
      <c r="J1033" s="93"/>
      <c r="K1033" s="34"/>
      <c r="L1033" s="34"/>
      <c r="M1033" s="34"/>
      <c r="N1033" s="34"/>
      <c r="O1033" s="34"/>
      <c r="P1033" s="34"/>
      <c r="Q1033" s="34"/>
      <c r="R1033" s="34"/>
      <c r="S1033" s="34"/>
      <c r="T1033" s="34"/>
      <c r="U1033" s="34"/>
      <c r="V1033" s="34"/>
      <c r="W1033" s="34"/>
      <c r="X1033" s="34"/>
      <c r="Y1033" s="34"/>
      <c r="Z1033" s="34"/>
    </row>
    <row r="1034">
      <c r="A1034" s="34"/>
      <c r="B1034" s="34"/>
      <c r="C1034" s="34"/>
      <c r="D1034" s="34"/>
      <c r="E1034" s="34"/>
      <c r="F1034" s="34"/>
      <c r="G1034" s="34"/>
      <c r="H1034" s="34"/>
      <c r="I1034" s="34"/>
      <c r="J1034" s="93"/>
      <c r="K1034" s="34"/>
      <c r="L1034" s="34"/>
      <c r="M1034" s="34"/>
      <c r="N1034" s="34"/>
      <c r="O1034" s="34"/>
      <c r="P1034" s="34"/>
      <c r="Q1034" s="34"/>
      <c r="R1034" s="34"/>
      <c r="S1034" s="34"/>
      <c r="T1034" s="34"/>
      <c r="U1034" s="34"/>
      <c r="V1034" s="34"/>
      <c r="W1034" s="34"/>
      <c r="X1034" s="34"/>
      <c r="Y1034" s="34"/>
      <c r="Z1034" s="34"/>
    </row>
    <row r="1035">
      <c r="A1035" s="34"/>
      <c r="B1035" s="34"/>
      <c r="C1035" s="34"/>
      <c r="D1035" s="34"/>
      <c r="E1035" s="34"/>
      <c r="F1035" s="34"/>
      <c r="G1035" s="34"/>
      <c r="H1035" s="34"/>
      <c r="I1035" s="34"/>
      <c r="J1035" s="93"/>
      <c r="K1035" s="34"/>
      <c r="L1035" s="34"/>
      <c r="M1035" s="34"/>
      <c r="N1035" s="34"/>
      <c r="O1035" s="34"/>
      <c r="P1035" s="34"/>
      <c r="Q1035" s="34"/>
      <c r="R1035" s="34"/>
      <c r="S1035" s="34"/>
      <c r="T1035" s="34"/>
      <c r="U1035" s="34"/>
      <c r="V1035" s="34"/>
      <c r="W1035" s="34"/>
      <c r="X1035" s="34"/>
      <c r="Y1035" s="34"/>
      <c r="Z1035" s="34"/>
    </row>
    <row r="1036">
      <c r="A1036" s="34"/>
      <c r="B1036" s="34"/>
      <c r="C1036" s="34"/>
      <c r="D1036" s="34"/>
      <c r="E1036" s="34"/>
      <c r="F1036" s="34"/>
      <c r="G1036" s="34"/>
      <c r="H1036" s="34"/>
      <c r="I1036" s="34"/>
      <c r="J1036" s="93"/>
      <c r="K1036" s="34"/>
      <c r="L1036" s="34"/>
      <c r="M1036" s="34"/>
      <c r="N1036" s="34"/>
      <c r="O1036" s="34"/>
      <c r="P1036" s="34"/>
      <c r="Q1036" s="34"/>
      <c r="R1036" s="34"/>
      <c r="S1036" s="34"/>
      <c r="T1036" s="34"/>
      <c r="U1036" s="34"/>
      <c r="V1036" s="34"/>
      <c r="W1036" s="34"/>
      <c r="X1036" s="34"/>
      <c r="Y1036" s="34"/>
      <c r="Z1036" s="34"/>
    </row>
    <row r="1037">
      <c r="A1037" s="34"/>
      <c r="B1037" s="34"/>
      <c r="C1037" s="34"/>
      <c r="D1037" s="34"/>
      <c r="E1037" s="34"/>
      <c r="F1037" s="34"/>
      <c r="G1037" s="34"/>
      <c r="H1037" s="34"/>
      <c r="I1037" s="34"/>
      <c r="J1037" s="93"/>
      <c r="K1037" s="34"/>
      <c r="L1037" s="34"/>
      <c r="M1037" s="34"/>
      <c r="N1037" s="34"/>
      <c r="O1037" s="34"/>
      <c r="P1037" s="34"/>
      <c r="Q1037" s="34"/>
      <c r="R1037" s="34"/>
      <c r="S1037" s="34"/>
      <c r="T1037" s="34"/>
      <c r="U1037" s="34"/>
      <c r="V1037" s="34"/>
      <c r="W1037" s="34"/>
      <c r="X1037" s="34"/>
      <c r="Y1037" s="34"/>
      <c r="Z1037" s="34"/>
    </row>
    <row r="1038">
      <c r="A1038" s="34"/>
      <c r="B1038" s="34"/>
      <c r="C1038" s="34"/>
      <c r="D1038" s="34"/>
      <c r="E1038" s="34"/>
      <c r="F1038" s="34"/>
      <c r="G1038" s="34"/>
      <c r="H1038" s="34"/>
      <c r="I1038" s="34"/>
      <c r="J1038" s="93"/>
      <c r="K1038" s="34"/>
      <c r="L1038" s="34"/>
      <c r="M1038" s="34"/>
      <c r="N1038" s="34"/>
      <c r="O1038" s="34"/>
      <c r="P1038" s="34"/>
      <c r="Q1038" s="34"/>
      <c r="R1038" s="34"/>
      <c r="S1038" s="34"/>
      <c r="T1038" s="34"/>
      <c r="U1038" s="34"/>
      <c r="V1038" s="34"/>
      <c r="W1038" s="34"/>
      <c r="X1038" s="34"/>
      <c r="Y1038" s="34"/>
      <c r="Z1038" s="34"/>
    </row>
    <row r="1039">
      <c r="A1039" s="34"/>
      <c r="B1039" s="34"/>
      <c r="C1039" s="34"/>
      <c r="D1039" s="34"/>
      <c r="E1039" s="34"/>
      <c r="F1039" s="34"/>
      <c r="G1039" s="34"/>
      <c r="H1039" s="34"/>
      <c r="I1039" s="34"/>
      <c r="J1039" s="93"/>
      <c r="K1039" s="34"/>
      <c r="L1039" s="34"/>
      <c r="M1039" s="34"/>
      <c r="N1039" s="34"/>
      <c r="O1039" s="34"/>
      <c r="P1039" s="34"/>
      <c r="Q1039" s="34"/>
      <c r="R1039" s="34"/>
      <c r="S1039" s="34"/>
      <c r="T1039" s="34"/>
      <c r="U1039" s="34"/>
      <c r="V1039" s="34"/>
      <c r="W1039" s="34"/>
      <c r="X1039" s="34"/>
      <c r="Y1039" s="34"/>
      <c r="Z1039" s="34"/>
    </row>
    <row r="1040">
      <c r="A1040" s="34"/>
      <c r="B1040" s="34"/>
      <c r="C1040" s="34"/>
      <c r="D1040" s="34"/>
      <c r="E1040" s="34"/>
      <c r="F1040" s="34"/>
      <c r="G1040" s="34"/>
      <c r="H1040" s="34"/>
      <c r="I1040" s="34"/>
      <c r="J1040" s="93"/>
      <c r="K1040" s="34"/>
      <c r="L1040" s="34"/>
      <c r="M1040" s="34"/>
      <c r="N1040" s="34"/>
      <c r="O1040" s="34"/>
      <c r="P1040" s="34"/>
      <c r="Q1040" s="34"/>
      <c r="R1040" s="34"/>
      <c r="S1040" s="34"/>
      <c r="T1040" s="34"/>
      <c r="U1040" s="34"/>
      <c r="V1040" s="34"/>
      <c r="W1040" s="34"/>
      <c r="X1040" s="34"/>
      <c r="Y1040" s="34"/>
      <c r="Z1040" s="34"/>
    </row>
    <row r="1041">
      <c r="A1041" s="34"/>
      <c r="B1041" s="34"/>
      <c r="C1041" s="34"/>
      <c r="D1041" s="34"/>
      <c r="E1041" s="34"/>
      <c r="F1041" s="34"/>
      <c r="G1041" s="34"/>
      <c r="H1041" s="34"/>
      <c r="I1041" s="34"/>
      <c r="J1041" s="93"/>
      <c r="K1041" s="34"/>
      <c r="L1041" s="34"/>
      <c r="M1041" s="34"/>
      <c r="N1041" s="34"/>
      <c r="O1041" s="34"/>
      <c r="P1041" s="34"/>
      <c r="Q1041" s="34"/>
      <c r="R1041" s="34"/>
      <c r="S1041" s="34"/>
      <c r="T1041" s="34"/>
      <c r="U1041" s="34"/>
      <c r="V1041" s="34"/>
      <c r="W1041" s="34"/>
      <c r="X1041" s="34"/>
      <c r="Y1041" s="34"/>
      <c r="Z1041" s="34"/>
    </row>
    <row r="1042">
      <c r="A1042" s="34"/>
      <c r="B1042" s="34"/>
      <c r="C1042" s="34"/>
      <c r="D1042" s="34"/>
      <c r="E1042" s="34"/>
      <c r="F1042" s="34"/>
      <c r="G1042" s="34"/>
      <c r="H1042" s="34"/>
      <c r="I1042" s="34"/>
      <c r="J1042" s="93"/>
      <c r="K1042" s="34"/>
      <c r="L1042" s="34"/>
      <c r="M1042" s="34"/>
      <c r="N1042" s="34"/>
      <c r="O1042" s="34"/>
      <c r="P1042" s="34"/>
      <c r="Q1042" s="34"/>
      <c r="R1042" s="34"/>
      <c r="S1042" s="34"/>
      <c r="T1042" s="34"/>
      <c r="U1042" s="34"/>
      <c r="V1042" s="34"/>
      <c r="W1042" s="34"/>
      <c r="X1042" s="34"/>
      <c r="Y1042" s="34"/>
      <c r="Z1042" s="34"/>
    </row>
    <row r="1043">
      <c r="A1043" s="34"/>
      <c r="B1043" s="34"/>
      <c r="C1043" s="34"/>
      <c r="D1043" s="34"/>
      <c r="E1043" s="34"/>
      <c r="F1043" s="34"/>
      <c r="G1043" s="34"/>
      <c r="H1043" s="34"/>
      <c r="I1043" s="34"/>
      <c r="J1043" s="93"/>
      <c r="K1043" s="34"/>
      <c r="L1043" s="34"/>
      <c r="M1043" s="34"/>
      <c r="N1043" s="34"/>
      <c r="O1043" s="34"/>
      <c r="P1043" s="34"/>
      <c r="Q1043" s="34"/>
      <c r="R1043" s="34"/>
      <c r="S1043" s="34"/>
      <c r="T1043" s="34"/>
      <c r="U1043" s="34"/>
      <c r="V1043" s="34"/>
      <c r="W1043" s="34"/>
      <c r="X1043" s="34"/>
      <c r="Y1043" s="34"/>
      <c r="Z1043" s="34"/>
    </row>
    <row r="1044">
      <c r="A1044" s="34"/>
      <c r="B1044" s="34"/>
      <c r="C1044" s="34"/>
      <c r="D1044" s="34"/>
      <c r="E1044" s="34"/>
      <c r="F1044" s="34"/>
      <c r="G1044" s="34"/>
      <c r="H1044" s="34"/>
      <c r="I1044" s="34"/>
      <c r="J1044" s="93"/>
      <c r="K1044" s="34"/>
      <c r="L1044" s="34"/>
      <c r="M1044" s="34"/>
      <c r="N1044" s="34"/>
      <c r="O1044" s="34"/>
      <c r="P1044" s="34"/>
      <c r="Q1044" s="34"/>
      <c r="R1044" s="34"/>
      <c r="S1044" s="34"/>
      <c r="T1044" s="34"/>
      <c r="U1044" s="34"/>
      <c r="V1044" s="34"/>
      <c r="W1044" s="34"/>
      <c r="X1044" s="34"/>
      <c r="Y1044" s="34"/>
      <c r="Z1044" s="34"/>
    </row>
    <row r="1045">
      <c r="A1045" s="34"/>
      <c r="B1045" s="34"/>
      <c r="C1045" s="34"/>
      <c r="D1045" s="34"/>
      <c r="E1045" s="34"/>
      <c r="F1045" s="34"/>
      <c r="G1045" s="34"/>
      <c r="H1045" s="34"/>
      <c r="I1045" s="34"/>
      <c r="J1045" s="93"/>
      <c r="K1045" s="34"/>
      <c r="L1045" s="34"/>
      <c r="M1045" s="34"/>
      <c r="N1045" s="34"/>
      <c r="O1045" s="34"/>
      <c r="P1045" s="34"/>
      <c r="Q1045" s="34"/>
      <c r="R1045" s="34"/>
      <c r="S1045" s="34"/>
      <c r="T1045" s="34"/>
      <c r="U1045" s="34"/>
      <c r="V1045" s="34"/>
      <c r="W1045" s="34"/>
      <c r="X1045" s="34"/>
      <c r="Y1045" s="34"/>
      <c r="Z1045" s="34"/>
    </row>
    <row r="1046">
      <c r="A1046" s="34"/>
      <c r="B1046" s="34"/>
      <c r="C1046" s="34"/>
      <c r="D1046" s="34"/>
      <c r="E1046" s="34"/>
      <c r="F1046" s="34"/>
      <c r="G1046" s="34"/>
      <c r="H1046" s="34"/>
      <c r="I1046" s="34"/>
      <c r="J1046" s="93"/>
      <c r="K1046" s="34"/>
      <c r="L1046" s="34"/>
      <c r="M1046" s="34"/>
      <c r="N1046" s="34"/>
      <c r="O1046" s="34"/>
      <c r="P1046" s="34"/>
      <c r="Q1046" s="34"/>
      <c r="R1046" s="34"/>
      <c r="S1046" s="34"/>
      <c r="T1046" s="34"/>
      <c r="U1046" s="34"/>
      <c r="V1046" s="34"/>
      <c r="W1046" s="34"/>
      <c r="X1046" s="34"/>
      <c r="Y1046" s="34"/>
      <c r="Z1046" s="34"/>
    </row>
    <row r="1047">
      <c r="A1047" s="34"/>
      <c r="B1047" s="34"/>
      <c r="C1047" s="34"/>
      <c r="D1047" s="34"/>
      <c r="E1047" s="34"/>
      <c r="F1047" s="34"/>
      <c r="G1047" s="34"/>
      <c r="H1047" s="34"/>
      <c r="I1047" s="34"/>
      <c r="J1047" s="93"/>
      <c r="K1047" s="34"/>
      <c r="L1047" s="34"/>
      <c r="M1047" s="34"/>
      <c r="N1047" s="34"/>
      <c r="O1047" s="34"/>
      <c r="P1047" s="34"/>
      <c r="Q1047" s="34"/>
      <c r="R1047" s="34"/>
      <c r="S1047" s="34"/>
      <c r="T1047" s="34"/>
      <c r="U1047" s="34"/>
      <c r="V1047" s="34"/>
      <c r="W1047" s="34"/>
      <c r="X1047" s="34"/>
      <c r="Y1047" s="34"/>
      <c r="Z1047" s="34"/>
    </row>
    <row r="1048">
      <c r="A1048" s="34"/>
      <c r="B1048" s="34"/>
      <c r="C1048" s="34"/>
      <c r="D1048" s="34"/>
      <c r="E1048" s="34"/>
      <c r="F1048" s="34"/>
      <c r="G1048" s="34"/>
      <c r="H1048" s="34"/>
      <c r="I1048" s="34"/>
      <c r="J1048" s="93"/>
      <c r="K1048" s="34"/>
      <c r="L1048" s="34"/>
      <c r="M1048" s="34"/>
      <c r="N1048" s="34"/>
      <c r="O1048" s="34"/>
      <c r="P1048" s="34"/>
      <c r="Q1048" s="34"/>
      <c r="R1048" s="34"/>
      <c r="S1048" s="34"/>
      <c r="T1048" s="34"/>
      <c r="U1048" s="34"/>
      <c r="V1048" s="34"/>
      <c r="W1048" s="34"/>
      <c r="X1048" s="34"/>
      <c r="Y1048" s="34"/>
      <c r="Z1048" s="34"/>
    </row>
    <row r="1049">
      <c r="A1049" s="34"/>
      <c r="B1049" s="34"/>
      <c r="C1049" s="34"/>
      <c r="D1049" s="34"/>
      <c r="E1049" s="34"/>
      <c r="F1049" s="34"/>
      <c r="G1049" s="34"/>
      <c r="H1049" s="34"/>
      <c r="I1049" s="34"/>
      <c r="J1049" s="93"/>
      <c r="K1049" s="34"/>
      <c r="L1049" s="34"/>
      <c r="M1049" s="34"/>
      <c r="N1049" s="34"/>
      <c r="O1049" s="34"/>
      <c r="P1049" s="34"/>
      <c r="Q1049" s="34"/>
      <c r="R1049" s="34"/>
      <c r="S1049" s="34"/>
      <c r="T1049" s="34"/>
      <c r="U1049" s="34"/>
      <c r="V1049" s="34"/>
      <c r="W1049" s="34"/>
      <c r="X1049" s="34"/>
      <c r="Y1049" s="34"/>
      <c r="Z1049" s="34"/>
    </row>
    <row r="1050">
      <c r="A1050" s="34"/>
      <c r="B1050" s="34"/>
      <c r="C1050" s="34"/>
      <c r="D1050" s="34"/>
      <c r="E1050" s="34"/>
      <c r="F1050" s="34"/>
      <c r="G1050" s="34"/>
      <c r="H1050" s="34"/>
      <c r="I1050" s="34"/>
      <c r="J1050" s="93"/>
      <c r="K1050" s="34"/>
      <c r="L1050" s="34"/>
      <c r="M1050" s="34"/>
      <c r="N1050" s="34"/>
      <c r="O1050" s="34"/>
      <c r="P1050" s="34"/>
      <c r="Q1050" s="34"/>
      <c r="R1050" s="34"/>
      <c r="S1050" s="34"/>
      <c r="T1050" s="34"/>
      <c r="U1050" s="34"/>
      <c r="V1050" s="34"/>
      <c r="W1050" s="34"/>
      <c r="X1050" s="34"/>
      <c r="Y1050" s="34"/>
      <c r="Z1050" s="34"/>
    </row>
    <row r="1051">
      <c r="A1051" s="34"/>
      <c r="B1051" s="34"/>
      <c r="C1051" s="34"/>
      <c r="D1051" s="34"/>
      <c r="E1051" s="34"/>
      <c r="F1051" s="34"/>
      <c r="G1051" s="34"/>
      <c r="H1051" s="34"/>
      <c r="I1051" s="34"/>
      <c r="J1051" s="93"/>
      <c r="K1051" s="34"/>
      <c r="L1051" s="34"/>
      <c r="M1051" s="34"/>
      <c r="N1051" s="34"/>
      <c r="O1051" s="34"/>
      <c r="P1051" s="34"/>
      <c r="Q1051" s="34"/>
      <c r="R1051" s="34"/>
      <c r="S1051" s="34"/>
      <c r="T1051" s="34"/>
      <c r="U1051" s="34"/>
      <c r="V1051" s="34"/>
      <c r="W1051" s="34"/>
      <c r="X1051" s="34"/>
      <c r="Y1051" s="34"/>
      <c r="Z1051" s="34"/>
    </row>
    <row r="1052">
      <c r="A1052" s="34"/>
      <c r="B1052" s="34"/>
      <c r="C1052" s="34"/>
      <c r="D1052" s="34"/>
      <c r="E1052" s="34"/>
      <c r="F1052" s="34"/>
      <c r="G1052" s="34"/>
      <c r="H1052" s="34"/>
      <c r="I1052" s="34"/>
      <c r="J1052" s="93"/>
      <c r="K1052" s="34"/>
      <c r="L1052" s="34"/>
      <c r="M1052" s="34"/>
      <c r="N1052" s="34"/>
      <c r="O1052" s="34"/>
      <c r="P1052" s="34"/>
      <c r="Q1052" s="34"/>
      <c r="R1052" s="34"/>
      <c r="S1052" s="34"/>
      <c r="T1052" s="34"/>
      <c r="U1052" s="34"/>
      <c r="V1052" s="34"/>
      <c r="W1052" s="34"/>
      <c r="X1052" s="34"/>
      <c r="Y1052" s="34"/>
      <c r="Z1052" s="34"/>
    </row>
    <row r="1053">
      <c r="A1053" s="34"/>
      <c r="B1053" s="34"/>
      <c r="C1053" s="34"/>
      <c r="D1053" s="34"/>
      <c r="E1053" s="34"/>
      <c r="F1053" s="34"/>
      <c r="G1053" s="34"/>
      <c r="H1053" s="34"/>
      <c r="I1053" s="34"/>
      <c r="J1053" s="93"/>
      <c r="K1053" s="34"/>
      <c r="L1053" s="34"/>
      <c r="M1053" s="34"/>
      <c r="N1053" s="34"/>
      <c r="O1053" s="34"/>
      <c r="P1053" s="34"/>
      <c r="Q1053" s="34"/>
      <c r="R1053" s="34"/>
      <c r="S1053" s="34"/>
      <c r="T1053" s="34"/>
      <c r="U1053" s="34"/>
      <c r="V1053" s="34"/>
      <c r="W1053" s="34"/>
      <c r="X1053" s="34"/>
      <c r="Y1053" s="34"/>
      <c r="Z1053" s="34"/>
    </row>
    <row r="1054">
      <c r="A1054" s="34"/>
      <c r="B1054" s="34"/>
      <c r="C1054" s="34"/>
      <c r="D1054" s="34"/>
      <c r="E1054" s="34"/>
      <c r="F1054" s="34"/>
      <c r="G1054" s="34"/>
      <c r="H1054" s="34"/>
      <c r="I1054" s="34"/>
      <c r="J1054" s="93"/>
      <c r="K1054" s="34"/>
      <c r="L1054" s="34"/>
      <c r="M1054" s="34"/>
      <c r="N1054" s="34"/>
      <c r="O1054" s="34"/>
      <c r="P1054" s="34"/>
      <c r="Q1054" s="34"/>
      <c r="R1054" s="34"/>
      <c r="S1054" s="34"/>
      <c r="T1054" s="34"/>
      <c r="U1054" s="34"/>
      <c r="V1054" s="34"/>
      <c r="W1054" s="34"/>
      <c r="X1054" s="34"/>
      <c r="Y1054" s="34"/>
      <c r="Z1054" s="34"/>
    </row>
    <row r="1055">
      <c r="A1055" s="34"/>
      <c r="B1055" s="34"/>
      <c r="C1055" s="34"/>
      <c r="D1055" s="34"/>
      <c r="E1055" s="34"/>
      <c r="F1055" s="34"/>
      <c r="G1055" s="34"/>
      <c r="H1055" s="34"/>
      <c r="I1055" s="34"/>
      <c r="J1055" s="93"/>
      <c r="K1055" s="34"/>
      <c r="L1055" s="34"/>
      <c r="M1055" s="34"/>
      <c r="N1055" s="34"/>
      <c r="O1055" s="34"/>
      <c r="P1055" s="34"/>
      <c r="Q1055" s="34"/>
      <c r="R1055" s="34"/>
      <c r="S1055" s="34"/>
      <c r="T1055" s="34"/>
      <c r="U1055" s="34"/>
      <c r="V1055" s="34"/>
      <c r="W1055" s="34"/>
      <c r="X1055" s="34"/>
      <c r="Y1055" s="34"/>
      <c r="Z1055" s="34"/>
    </row>
    <row r="1056">
      <c r="A1056" s="34"/>
      <c r="B1056" s="34"/>
      <c r="C1056" s="34"/>
      <c r="D1056" s="34"/>
      <c r="E1056" s="34"/>
      <c r="F1056" s="34"/>
      <c r="G1056" s="34"/>
      <c r="H1056" s="34"/>
      <c r="I1056" s="34"/>
      <c r="J1056" s="93"/>
      <c r="K1056" s="34"/>
      <c r="L1056" s="34"/>
      <c r="M1056" s="34"/>
      <c r="N1056" s="34"/>
      <c r="O1056" s="34"/>
      <c r="P1056" s="34"/>
      <c r="Q1056" s="34"/>
      <c r="R1056" s="34"/>
      <c r="S1056" s="34"/>
      <c r="T1056" s="34"/>
      <c r="U1056" s="34"/>
      <c r="V1056" s="34"/>
      <c r="W1056" s="34"/>
      <c r="X1056" s="34"/>
      <c r="Y1056" s="34"/>
      <c r="Z1056" s="34"/>
    </row>
    <row r="1057">
      <c r="A1057" s="34"/>
      <c r="B1057" s="34"/>
      <c r="C1057" s="34"/>
      <c r="D1057" s="34"/>
      <c r="E1057" s="34"/>
      <c r="F1057" s="34"/>
      <c r="G1057" s="34"/>
      <c r="H1057" s="34"/>
      <c r="I1057" s="34"/>
      <c r="J1057" s="93"/>
      <c r="K1057" s="34"/>
      <c r="L1057" s="34"/>
      <c r="M1057" s="34"/>
      <c r="N1057" s="34"/>
      <c r="O1057" s="34"/>
      <c r="P1057" s="34"/>
      <c r="Q1057" s="34"/>
      <c r="R1057" s="34"/>
      <c r="S1057" s="34"/>
      <c r="T1057" s="34"/>
      <c r="U1057" s="34"/>
      <c r="V1057" s="34"/>
      <c r="W1057" s="34"/>
      <c r="X1057" s="34"/>
      <c r="Y1057" s="34"/>
      <c r="Z1057" s="34"/>
    </row>
    <row r="1058">
      <c r="A1058" s="34"/>
      <c r="B1058" s="34"/>
      <c r="C1058" s="34"/>
      <c r="D1058" s="34"/>
      <c r="E1058" s="34"/>
      <c r="F1058" s="34"/>
      <c r="G1058" s="34"/>
      <c r="H1058" s="34"/>
      <c r="I1058" s="34"/>
      <c r="J1058" s="93"/>
      <c r="K1058" s="34"/>
      <c r="L1058" s="34"/>
      <c r="M1058" s="34"/>
      <c r="N1058" s="34"/>
      <c r="O1058" s="34"/>
      <c r="P1058" s="34"/>
      <c r="Q1058" s="34"/>
      <c r="R1058" s="34"/>
      <c r="S1058" s="34"/>
      <c r="T1058" s="34"/>
      <c r="U1058" s="34"/>
      <c r="V1058" s="34"/>
      <c r="W1058" s="34"/>
      <c r="X1058" s="34"/>
      <c r="Y1058" s="34"/>
      <c r="Z1058" s="34"/>
    </row>
    <row r="1059">
      <c r="A1059" s="34"/>
      <c r="B1059" s="34"/>
      <c r="C1059" s="34"/>
      <c r="D1059" s="34"/>
      <c r="E1059" s="34"/>
      <c r="F1059" s="34"/>
      <c r="G1059" s="34"/>
      <c r="H1059" s="34"/>
      <c r="I1059" s="34"/>
      <c r="J1059" s="93"/>
      <c r="K1059" s="34"/>
      <c r="L1059" s="34"/>
      <c r="M1059" s="34"/>
      <c r="N1059" s="34"/>
      <c r="O1059" s="34"/>
      <c r="P1059" s="34"/>
      <c r="Q1059" s="34"/>
      <c r="R1059" s="34"/>
      <c r="S1059" s="34"/>
      <c r="T1059" s="34"/>
      <c r="U1059" s="34"/>
      <c r="V1059" s="34"/>
      <c r="W1059" s="34"/>
      <c r="X1059" s="34"/>
      <c r="Y1059" s="34"/>
      <c r="Z1059" s="34"/>
    </row>
    <row r="1060">
      <c r="A1060" s="34"/>
      <c r="B1060" s="34"/>
      <c r="C1060" s="34"/>
      <c r="D1060" s="34"/>
      <c r="E1060" s="34"/>
      <c r="F1060" s="34"/>
      <c r="G1060" s="34"/>
      <c r="H1060" s="34"/>
      <c r="I1060" s="34"/>
      <c r="J1060" s="93"/>
      <c r="K1060" s="34"/>
      <c r="L1060" s="34"/>
      <c r="M1060" s="34"/>
      <c r="N1060" s="34"/>
      <c r="O1060" s="34"/>
      <c r="P1060" s="34"/>
      <c r="Q1060" s="34"/>
      <c r="R1060" s="34"/>
      <c r="S1060" s="34"/>
      <c r="T1060" s="34"/>
      <c r="U1060" s="34"/>
      <c r="V1060" s="34"/>
      <c r="W1060" s="34"/>
      <c r="X1060" s="34"/>
      <c r="Y1060" s="34"/>
      <c r="Z1060" s="34"/>
    </row>
    <row r="1061">
      <c r="A1061" s="34"/>
      <c r="B1061" s="34"/>
      <c r="C1061" s="34"/>
      <c r="D1061" s="34"/>
      <c r="E1061" s="34"/>
      <c r="F1061" s="34"/>
      <c r="G1061" s="34"/>
      <c r="H1061" s="34"/>
      <c r="I1061" s="34"/>
      <c r="J1061" s="93"/>
      <c r="K1061" s="34"/>
      <c r="L1061" s="34"/>
      <c r="M1061" s="34"/>
      <c r="N1061" s="34"/>
      <c r="O1061" s="34"/>
      <c r="P1061" s="34"/>
      <c r="Q1061" s="34"/>
      <c r="R1061" s="34"/>
      <c r="S1061" s="34"/>
      <c r="T1061" s="34"/>
      <c r="U1061" s="34"/>
      <c r="V1061" s="34"/>
      <c r="W1061" s="34"/>
      <c r="X1061" s="34"/>
      <c r="Y1061" s="34"/>
      <c r="Z1061" s="34"/>
    </row>
    <row r="1062">
      <c r="A1062" s="34"/>
      <c r="B1062" s="34"/>
      <c r="C1062" s="34"/>
      <c r="D1062" s="34"/>
      <c r="E1062" s="34"/>
      <c r="F1062" s="34"/>
      <c r="G1062" s="34"/>
      <c r="H1062" s="34"/>
      <c r="I1062" s="34"/>
      <c r="J1062" s="93"/>
      <c r="K1062" s="34"/>
      <c r="L1062" s="34"/>
      <c r="M1062" s="34"/>
      <c r="N1062" s="34"/>
      <c r="O1062" s="34"/>
      <c r="P1062" s="34"/>
      <c r="Q1062" s="34"/>
      <c r="R1062" s="34"/>
      <c r="S1062" s="34"/>
      <c r="T1062" s="34"/>
      <c r="U1062" s="34"/>
      <c r="V1062" s="34"/>
      <c r="W1062" s="34"/>
      <c r="X1062" s="34"/>
      <c r="Y1062" s="34"/>
      <c r="Z1062" s="34"/>
    </row>
    <row r="1063">
      <c r="A1063" s="34"/>
      <c r="B1063" s="34"/>
      <c r="C1063" s="34"/>
      <c r="D1063" s="34"/>
      <c r="E1063" s="34"/>
      <c r="F1063" s="34"/>
      <c r="G1063" s="34"/>
      <c r="H1063" s="34"/>
      <c r="I1063" s="34"/>
      <c r="J1063" s="93"/>
      <c r="K1063" s="34"/>
      <c r="L1063" s="34"/>
      <c r="M1063" s="34"/>
      <c r="N1063" s="34"/>
      <c r="O1063" s="34"/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</row>
    <row r="1064">
      <c r="A1064" s="34"/>
      <c r="B1064" s="34"/>
      <c r="C1064" s="34"/>
      <c r="D1064" s="34"/>
      <c r="E1064" s="34"/>
      <c r="F1064" s="34"/>
      <c r="G1064" s="34"/>
      <c r="H1064" s="34"/>
      <c r="I1064" s="34"/>
      <c r="J1064" s="93"/>
      <c r="K1064" s="34"/>
      <c r="L1064" s="34"/>
      <c r="M1064" s="34"/>
      <c r="N1064" s="34"/>
      <c r="O1064" s="34"/>
      <c r="P1064" s="34"/>
      <c r="Q1064" s="34"/>
      <c r="R1064" s="34"/>
      <c r="S1064" s="34"/>
      <c r="T1064" s="34"/>
      <c r="U1064" s="34"/>
      <c r="V1064" s="34"/>
      <c r="W1064" s="34"/>
      <c r="X1064" s="34"/>
      <c r="Y1064" s="34"/>
      <c r="Z1064" s="34"/>
    </row>
    <row r="1065">
      <c r="A1065" s="34"/>
      <c r="B1065" s="34"/>
      <c r="C1065" s="34"/>
      <c r="D1065" s="34"/>
      <c r="E1065" s="34"/>
      <c r="F1065" s="34"/>
      <c r="G1065" s="34"/>
      <c r="H1065" s="34"/>
      <c r="I1065" s="34"/>
      <c r="J1065" s="93"/>
      <c r="K1065" s="34"/>
      <c r="L1065" s="34"/>
      <c r="M1065" s="34"/>
      <c r="N1065" s="34"/>
      <c r="O1065" s="34"/>
      <c r="P1065" s="34"/>
      <c r="Q1065" s="34"/>
      <c r="R1065" s="34"/>
      <c r="S1065" s="34"/>
      <c r="T1065" s="34"/>
      <c r="U1065" s="34"/>
      <c r="V1065" s="34"/>
      <c r="W1065" s="34"/>
      <c r="X1065" s="34"/>
      <c r="Y1065" s="34"/>
      <c r="Z1065" s="34"/>
    </row>
    <row r="1066">
      <c r="A1066" s="34"/>
      <c r="B1066" s="34"/>
      <c r="C1066" s="34"/>
      <c r="D1066" s="34"/>
      <c r="E1066" s="34"/>
      <c r="F1066" s="34"/>
      <c r="G1066" s="34"/>
      <c r="H1066" s="34"/>
      <c r="I1066" s="34"/>
      <c r="J1066" s="93"/>
      <c r="K1066" s="34"/>
      <c r="L1066" s="34"/>
      <c r="M1066" s="34"/>
      <c r="N1066" s="34"/>
      <c r="O1066" s="34"/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</row>
    <row r="1067">
      <c r="A1067" s="34"/>
      <c r="B1067" s="34"/>
      <c r="C1067" s="34"/>
      <c r="D1067" s="34"/>
      <c r="E1067" s="34"/>
      <c r="F1067" s="34"/>
      <c r="G1067" s="34"/>
      <c r="H1067" s="34"/>
      <c r="I1067" s="34"/>
      <c r="J1067" s="93"/>
      <c r="K1067" s="34"/>
      <c r="L1067" s="34"/>
      <c r="M1067" s="34"/>
      <c r="N1067" s="34"/>
      <c r="O1067" s="34"/>
      <c r="P1067" s="34"/>
      <c r="Q1067" s="34"/>
      <c r="R1067" s="34"/>
      <c r="S1067" s="34"/>
      <c r="T1067" s="34"/>
      <c r="U1067" s="34"/>
      <c r="V1067" s="34"/>
      <c r="W1067" s="34"/>
      <c r="X1067" s="34"/>
      <c r="Y1067" s="34"/>
      <c r="Z1067" s="34"/>
    </row>
    <row r="1068">
      <c r="A1068" s="34"/>
      <c r="B1068" s="34"/>
      <c r="C1068" s="34"/>
      <c r="D1068" s="34"/>
      <c r="E1068" s="34"/>
      <c r="F1068" s="34"/>
      <c r="G1068" s="34"/>
      <c r="H1068" s="34"/>
      <c r="I1068" s="34"/>
      <c r="J1068" s="93"/>
      <c r="K1068" s="34"/>
      <c r="L1068" s="34"/>
      <c r="M1068" s="34"/>
      <c r="N1068" s="34"/>
      <c r="O1068" s="34"/>
      <c r="P1068" s="34"/>
      <c r="Q1068" s="34"/>
      <c r="R1068" s="34"/>
      <c r="S1068" s="34"/>
      <c r="T1068" s="34"/>
      <c r="U1068" s="34"/>
      <c r="V1068" s="34"/>
      <c r="W1068" s="34"/>
      <c r="X1068" s="34"/>
      <c r="Y1068" s="34"/>
      <c r="Z1068" s="34"/>
    </row>
    <row r="1069">
      <c r="A1069" s="34"/>
      <c r="B1069" s="34"/>
      <c r="C1069" s="34"/>
      <c r="D1069" s="34"/>
      <c r="E1069" s="34"/>
      <c r="F1069" s="34"/>
      <c r="G1069" s="34"/>
      <c r="H1069" s="34"/>
      <c r="I1069" s="34"/>
      <c r="J1069" s="93"/>
      <c r="K1069" s="34"/>
      <c r="L1069" s="34"/>
      <c r="M1069" s="34"/>
      <c r="N1069" s="34"/>
      <c r="O1069" s="34"/>
      <c r="P1069" s="34"/>
      <c r="Q1069" s="34"/>
      <c r="R1069" s="34"/>
      <c r="S1069" s="34"/>
      <c r="T1069" s="34"/>
      <c r="U1069" s="34"/>
      <c r="V1069" s="34"/>
      <c r="W1069" s="34"/>
      <c r="X1069" s="34"/>
      <c r="Y1069" s="34"/>
      <c r="Z1069" s="34"/>
    </row>
    <row r="1070">
      <c r="A1070" s="34"/>
      <c r="B1070" s="34"/>
      <c r="C1070" s="34"/>
      <c r="D1070" s="34"/>
      <c r="E1070" s="34"/>
      <c r="F1070" s="34"/>
      <c r="G1070" s="34"/>
      <c r="H1070" s="34"/>
      <c r="I1070" s="34"/>
      <c r="J1070" s="93"/>
      <c r="K1070" s="34"/>
      <c r="L1070" s="34"/>
      <c r="M1070" s="34"/>
      <c r="N1070" s="34"/>
      <c r="O1070" s="34"/>
      <c r="P1070" s="34"/>
      <c r="Q1070" s="34"/>
      <c r="R1070" s="34"/>
      <c r="S1070" s="34"/>
      <c r="T1070" s="34"/>
      <c r="U1070" s="34"/>
      <c r="V1070" s="34"/>
      <c r="W1070" s="34"/>
      <c r="X1070" s="34"/>
      <c r="Y1070" s="34"/>
      <c r="Z1070" s="34"/>
    </row>
    <row r="1071">
      <c r="A1071" s="34"/>
      <c r="B1071" s="34"/>
      <c r="C1071" s="34"/>
      <c r="D1071" s="34"/>
      <c r="E1071" s="34"/>
      <c r="F1071" s="34"/>
      <c r="G1071" s="34"/>
      <c r="H1071" s="34"/>
      <c r="I1071" s="34"/>
      <c r="J1071" s="93"/>
      <c r="K1071" s="34"/>
      <c r="L1071" s="34"/>
      <c r="M1071" s="34"/>
      <c r="N1071" s="34"/>
      <c r="O1071" s="34"/>
      <c r="P1071" s="34"/>
      <c r="Q1071" s="34"/>
      <c r="R1071" s="34"/>
      <c r="S1071" s="34"/>
      <c r="T1071" s="34"/>
      <c r="U1071" s="34"/>
      <c r="V1071" s="34"/>
      <c r="W1071" s="34"/>
      <c r="X1071" s="34"/>
      <c r="Y1071" s="34"/>
      <c r="Z1071" s="34"/>
    </row>
    <row r="1072">
      <c r="A1072" s="34"/>
      <c r="B1072" s="34"/>
      <c r="C1072" s="34"/>
      <c r="D1072" s="34"/>
      <c r="E1072" s="34"/>
      <c r="F1072" s="34"/>
      <c r="G1072" s="34"/>
      <c r="H1072" s="34"/>
      <c r="I1072" s="34"/>
      <c r="J1072" s="93"/>
      <c r="K1072" s="34"/>
      <c r="L1072" s="34"/>
      <c r="M1072" s="34"/>
      <c r="N1072" s="34"/>
      <c r="O1072" s="34"/>
      <c r="P1072" s="34"/>
      <c r="Q1072" s="34"/>
      <c r="R1072" s="34"/>
      <c r="S1072" s="34"/>
      <c r="T1072" s="34"/>
      <c r="U1072" s="34"/>
      <c r="V1072" s="34"/>
      <c r="W1072" s="34"/>
      <c r="X1072" s="34"/>
      <c r="Y1072" s="34"/>
      <c r="Z1072" s="34"/>
    </row>
    <row r="1073">
      <c r="A1073" s="34"/>
      <c r="B1073" s="34"/>
      <c r="C1073" s="34"/>
      <c r="D1073" s="34"/>
      <c r="E1073" s="34"/>
      <c r="F1073" s="34"/>
      <c r="G1073" s="34"/>
      <c r="H1073" s="34"/>
      <c r="I1073" s="34"/>
      <c r="J1073" s="93"/>
      <c r="K1073" s="34"/>
      <c r="L1073" s="34"/>
      <c r="M1073" s="34"/>
      <c r="N1073" s="34"/>
      <c r="O1073" s="34"/>
      <c r="P1073" s="34"/>
      <c r="Q1073" s="34"/>
      <c r="R1073" s="34"/>
      <c r="S1073" s="34"/>
      <c r="T1073" s="34"/>
      <c r="U1073" s="34"/>
      <c r="V1073" s="34"/>
      <c r="W1073" s="34"/>
      <c r="X1073" s="34"/>
      <c r="Y1073" s="34"/>
      <c r="Z1073" s="34"/>
    </row>
    <row r="1074">
      <c r="A1074" s="34"/>
      <c r="B1074" s="34"/>
      <c r="C1074" s="34"/>
      <c r="D1074" s="34"/>
      <c r="E1074" s="34"/>
      <c r="F1074" s="34"/>
      <c r="G1074" s="34"/>
      <c r="H1074" s="34"/>
      <c r="I1074" s="34"/>
      <c r="J1074" s="93"/>
      <c r="K1074" s="34"/>
      <c r="L1074" s="34"/>
      <c r="M1074" s="34"/>
      <c r="N1074" s="34"/>
      <c r="O1074" s="34"/>
      <c r="P1074" s="34"/>
      <c r="Q1074" s="34"/>
      <c r="R1074" s="34"/>
      <c r="S1074" s="34"/>
      <c r="T1074" s="34"/>
      <c r="U1074" s="34"/>
      <c r="V1074" s="34"/>
      <c r="W1074" s="34"/>
      <c r="X1074" s="34"/>
      <c r="Y1074" s="34"/>
      <c r="Z1074" s="34"/>
    </row>
    <row r="1075">
      <c r="A1075" s="34"/>
      <c r="B1075" s="34"/>
      <c r="C1075" s="34"/>
      <c r="D1075" s="34"/>
      <c r="E1075" s="34"/>
      <c r="F1075" s="34"/>
      <c r="G1075" s="34"/>
      <c r="H1075" s="34"/>
      <c r="I1075" s="34"/>
      <c r="J1075" s="93"/>
      <c r="K1075" s="34"/>
      <c r="L1075" s="34"/>
      <c r="M1075" s="34"/>
      <c r="N1075" s="34"/>
      <c r="O1075" s="34"/>
      <c r="P1075" s="34"/>
      <c r="Q1075" s="34"/>
      <c r="R1075" s="34"/>
      <c r="S1075" s="34"/>
      <c r="T1075" s="34"/>
      <c r="U1075" s="34"/>
      <c r="V1075" s="34"/>
      <c r="W1075" s="34"/>
      <c r="X1075" s="34"/>
      <c r="Y1075" s="34"/>
      <c r="Z1075" s="34"/>
    </row>
    <row r="1076">
      <c r="A1076" s="34"/>
      <c r="B1076" s="34"/>
      <c r="C1076" s="34"/>
      <c r="D1076" s="34"/>
      <c r="E1076" s="34"/>
      <c r="F1076" s="34"/>
      <c r="G1076" s="34"/>
      <c r="H1076" s="34"/>
      <c r="I1076" s="34"/>
      <c r="J1076" s="93"/>
      <c r="K1076" s="34"/>
      <c r="L1076" s="34"/>
      <c r="M1076" s="34"/>
      <c r="N1076" s="34"/>
      <c r="O1076" s="34"/>
      <c r="P1076" s="34"/>
      <c r="Q1076" s="34"/>
      <c r="R1076" s="34"/>
      <c r="S1076" s="34"/>
      <c r="T1076" s="34"/>
      <c r="U1076" s="34"/>
      <c r="V1076" s="34"/>
      <c r="W1076" s="34"/>
      <c r="X1076" s="34"/>
      <c r="Y1076" s="34"/>
      <c r="Z1076" s="34"/>
    </row>
    <row r="1077">
      <c r="A1077" s="34"/>
      <c r="B1077" s="34"/>
      <c r="C1077" s="34"/>
      <c r="D1077" s="34"/>
      <c r="E1077" s="34"/>
      <c r="F1077" s="34"/>
      <c r="G1077" s="34"/>
      <c r="H1077" s="34"/>
      <c r="I1077" s="34"/>
      <c r="J1077" s="93"/>
      <c r="K1077" s="34"/>
      <c r="L1077" s="34"/>
      <c r="M1077" s="34"/>
      <c r="N1077" s="34"/>
      <c r="O1077" s="34"/>
      <c r="P1077" s="34"/>
      <c r="Q1077" s="34"/>
      <c r="R1077" s="34"/>
      <c r="S1077" s="34"/>
      <c r="T1077" s="34"/>
      <c r="U1077" s="34"/>
      <c r="V1077" s="34"/>
      <c r="W1077" s="34"/>
      <c r="X1077" s="34"/>
      <c r="Y1077" s="34"/>
      <c r="Z1077" s="34"/>
    </row>
    <row r="1078">
      <c r="A1078" s="34"/>
      <c r="B1078" s="34"/>
      <c r="C1078" s="34"/>
      <c r="D1078" s="34"/>
      <c r="E1078" s="34"/>
      <c r="F1078" s="34"/>
      <c r="G1078" s="34"/>
      <c r="H1078" s="34"/>
      <c r="I1078" s="34"/>
      <c r="J1078" s="93"/>
      <c r="K1078" s="34"/>
      <c r="L1078" s="34"/>
      <c r="M1078" s="34"/>
      <c r="N1078" s="34"/>
      <c r="O1078" s="34"/>
      <c r="P1078" s="34"/>
      <c r="Q1078" s="34"/>
      <c r="R1078" s="34"/>
      <c r="S1078" s="34"/>
      <c r="T1078" s="34"/>
      <c r="U1078" s="34"/>
      <c r="V1078" s="34"/>
      <c r="W1078" s="34"/>
      <c r="X1078" s="34"/>
      <c r="Y1078" s="34"/>
      <c r="Z1078" s="34"/>
    </row>
    <row r="1079">
      <c r="A1079" s="34"/>
      <c r="B1079" s="34"/>
      <c r="C1079" s="34"/>
      <c r="D1079" s="34"/>
      <c r="E1079" s="34"/>
      <c r="F1079" s="34"/>
      <c r="G1079" s="34"/>
      <c r="H1079" s="34"/>
      <c r="I1079" s="34"/>
      <c r="J1079" s="93"/>
      <c r="K1079" s="34"/>
      <c r="L1079" s="34"/>
      <c r="M1079" s="34"/>
      <c r="N1079" s="34"/>
      <c r="O1079" s="34"/>
      <c r="P1079" s="34"/>
      <c r="Q1079" s="34"/>
      <c r="R1079" s="34"/>
      <c r="S1079" s="34"/>
      <c r="T1079" s="34"/>
      <c r="U1079" s="34"/>
      <c r="V1079" s="34"/>
      <c r="W1079" s="34"/>
      <c r="X1079" s="34"/>
      <c r="Y1079" s="34"/>
      <c r="Z1079" s="34"/>
    </row>
    <row r="1080">
      <c r="A1080" s="34"/>
      <c r="B1080" s="34"/>
      <c r="C1080" s="34"/>
      <c r="D1080" s="34"/>
      <c r="E1080" s="34"/>
      <c r="F1080" s="34"/>
      <c r="G1080" s="34"/>
      <c r="H1080" s="34"/>
      <c r="I1080" s="34"/>
      <c r="J1080" s="93"/>
      <c r="K1080" s="34"/>
      <c r="L1080" s="34"/>
      <c r="M1080" s="34"/>
      <c r="N1080" s="34"/>
      <c r="O1080" s="34"/>
      <c r="P1080" s="34"/>
      <c r="Q1080" s="34"/>
      <c r="R1080" s="34"/>
      <c r="S1080" s="34"/>
      <c r="T1080" s="34"/>
      <c r="U1080" s="34"/>
      <c r="V1080" s="34"/>
      <c r="W1080" s="34"/>
      <c r="X1080" s="34"/>
      <c r="Y1080" s="34"/>
      <c r="Z1080" s="34"/>
    </row>
    <row r="1081">
      <c r="A1081" s="34"/>
      <c r="B1081" s="34"/>
      <c r="C1081" s="34"/>
      <c r="D1081" s="34"/>
      <c r="E1081" s="34"/>
      <c r="F1081" s="34"/>
      <c r="G1081" s="34"/>
      <c r="H1081" s="34"/>
      <c r="I1081" s="34"/>
      <c r="J1081" s="93"/>
      <c r="K1081" s="34"/>
      <c r="L1081" s="34"/>
      <c r="M1081" s="34"/>
      <c r="N1081" s="34"/>
      <c r="O1081" s="34"/>
      <c r="P1081" s="34"/>
      <c r="Q1081" s="34"/>
      <c r="R1081" s="34"/>
      <c r="S1081" s="34"/>
      <c r="T1081" s="34"/>
      <c r="U1081" s="34"/>
      <c r="V1081" s="34"/>
      <c r="W1081" s="34"/>
      <c r="X1081" s="34"/>
      <c r="Y1081" s="34"/>
      <c r="Z1081" s="34"/>
    </row>
    <row r="1082">
      <c r="A1082" s="34"/>
      <c r="B1082" s="34"/>
      <c r="C1082" s="34"/>
      <c r="D1082" s="34"/>
      <c r="E1082" s="34"/>
      <c r="F1082" s="34"/>
      <c r="G1082" s="34"/>
      <c r="H1082" s="34"/>
      <c r="I1082" s="34"/>
      <c r="J1082" s="93"/>
      <c r="K1082" s="34"/>
      <c r="L1082" s="34"/>
      <c r="M1082" s="34"/>
      <c r="N1082" s="34"/>
      <c r="O1082" s="34"/>
      <c r="P1082" s="34"/>
      <c r="Q1082" s="34"/>
      <c r="R1082" s="34"/>
      <c r="S1082" s="34"/>
      <c r="T1082" s="34"/>
      <c r="U1082" s="34"/>
      <c r="V1082" s="34"/>
      <c r="W1082" s="34"/>
      <c r="X1082" s="34"/>
      <c r="Y1082" s="34"/>
      <c r="Z1082" s="34"/>
    </row>
    <row r="1083">
      <c r="A1083" s="34"/>
      <c r="B1083" s="34"/>
      <c r="C1083" s="34"/>
      <c r="D1083" s="34"/>
      <c r="E1083" s="34"/>
      <c r="F1083" s="34"/>
      <c r="G1083" s="34"/>
      <c r="H1083" s="34"/>
      <c r="I1083" s="34"/>
      <c r="J1083" s="93"/>
      <c r="K1083" s="34"/>
      <c r="L1083" s="34"/>
      <c r="M1083" s="34"/>
      <c r="N1083" s="34"/>
      <c r="O1083" s="34"/>
      <c r="P1083" s="34"/>
      <c r="Q1083" s="34"/>
      <c r="R1083" s="34"/>
      <c r="S1083" s="34"/>
      <c r="T1083" s="34"/>
      <c r="U1083" s="34"/>
      <c r="V1083" s="34"/>
      <c r="W1083" s="34"/>
      <c r="X1083" s="34"/>
      <c r="Y1083" s="34"/>
      <c r="Z1083" s="34"/>
    </row>
    <row r="1084">
      <c r="A1084" s="34"/>
      <c r="B1084" s="34"/>
      <c r="C1084" s="34"/>
      <c r="D1084" s="34"/>
      <c r="E1084" s="34"/>
      <c r="F1084" s="34"/>
      <c r="G1084" s="34"/>
      <c r="H1084" s="34"/>
      <c r="I1084" s="34"/>
      <c r="J1084" s="93"/>
      <c r="K1084" s="34"/>
      <c r="L1084" s="34"/>
      <c r="M1084" s="34"/>
      <c r="N1084" s="34"/>
      <c r="O1084" s="34"/>
      <c r="P1084" s="34"/>
      <c r="Q1084" s="34"/>
      <c r="R1084" s="34"/>
      <c r="S1084" s="34"/>
      <c r="T1084" s="34"/>
      <c r="U1084" s="34"/>
      <c r="V1084" s="34"/>
      <c r="W1084" s="34"/>
      <c r="X1084" s="34"/>
      <c r="Y1084" s="34"/>
      <c r="Z1084" s="34"/>
    </row>
    <row r="1085">
      <c r="A1085" s="34"/>
      <c r="B1085" s="34"/>
      <c r="C1085" s="34"/>
      <c r="D1085" s="34"/>
      <c r="E1085" s="34"/>
      <c r="F1085" s="34"/>
      <c r="G1085" s="34"/>
      <c r="H1085" s="34"/>
      <c r="I1085" s="34"/>
      <c r="J1085" s="93"/>
      <c r="K1085" s="34"/>
      <c r="L1085" s="34"/>
      <c r="M1085" s="34"/>
      <c r="N1085" s="34"/>
      <c r="O1085" s="34"/>
      <c r="P1085" s="34"/>
      <c r="Q1085" s="34"/>
      <c r="R1085" s="34"/>
      <c r="S1085" s="34"/>
      <c r="T1085" s="34"/>
      <c r="U1085" s="34"/>
      <c r="V1085" s="34"/>
      <c r="W1085" s="34"/>
      <c r="X1085" s="34"/>
      <c r="Y1085" s="34"/>
      <c r="Z1085" s="34"/>
    </row>
    <row r="1086">
      <c r="A1086" s="34"/>
      <c r="B1086" s="34"/>
      <c r="C1086" s="34"/>
      <c r="D1086" s="34"/>
      <c r="E1086" s="34"/>
      <c r="F1086" s="34"/>
      <c r="G1086" s="34"/>
      <c r="H1086" s="34"/>
      <c r="I1086" s="34"/>
      <c r="J1086" s="93"/>
      <c r="K1086" s="34"/>
      <c r="L1086" s="34"/>
      <c r="M1086" s="34"/>
      <c r="N1086" s="34"/>
      <c r="O1086" s="34"/>
      <c r="P1086" s="34"/>
      <c r="Q1086" s="34"/>
      <c r="R1086" s="34"/>
      <c r="S1086" s="34"/>
      <c r="T1086" s="34"/>
      <c r="U1086" s="34"/>
      <c r="V1086" s="34"/>
      <c r="W1086" s="34"/>
      <c r="X1086" s="34"/>
      <c r="Y1086" s="34"/>
      <c r="Z1086" s="34"/>
    </row>
    <row r="1087">
      <c r="A1087" s="34"/>
      <c r="B1087" s="34"/>
      <c r="C1087" s="34"/>
      <c r="D1087" s="34"/>
      <c r="E1087" s="34"/>
      <c r="F1087" s="34"/>
      <c r="G1087" s="34"/>
      <c r="H1087" s="34"/>
      <c r="I1087" s="34"/>
      <c r="J1087" s="93"/>
      <c r="K1087" s="34"/>
      <c r="L1087" s="34"/>
      <c r="M1087" s="34"/>
      <c r="N1087" s="34"/>
      <c r="O1087" s="34"/>
      <c r="P1087" s="34"/>
      <c r="Q1087" s="34"/>
      <c r="R1087" s="34"/>
      <c r="S1087" s="34"/>
      <c r="T1087" s="34"/>
      <c r="U1087" s="34"/>
      <c r="V1087" s="34"/>
      <c r="W1087" s="34"/>
      <c r="X1087" s="34"/>
      <c r="Y1087" s="34"/>
      <c r="Z1087" s="34"/>
    </row>
    <row r="1088">
      <c r="A1088" s="34"/>
      <c r="B1088" s="34"/>
      <c r="C1088" s="34"/>
      <c r="D1088" s="34"/>
      <c r="E1088" s="34"/>
      <c r="F1088" s="34"/>
      <c r="G1088" s="34"/>
      <c r="H1088" s="34"/>
      <c r="I1088" s="34"/>
      <c r="J1088" s="93"/>
      <c r="K1088" s="34"/>
      <c r="L1088" s="34"/>
      <c r="M1088" s="34"/>
      <c r="N1088" s="34"/>
      <c r="O1088" s="34"/>
      <c r="P1088" s="34"/>
      <c r="Q1088" s="34"/>
      <c r="R1088" s="34"/>
      <c r="S1088" s="34"/>
      <c r="T1088" s="34"/>
      <c r="U1088" s="34"/>
      <c r="V1088" s="34"/>
      <c r="W1088" s="34"/>
      <c r="X1088" s="34"/>
      <c r="Y1088" s="34"/>
      <c r="Z1088" s="34"/>
    </row>
    <row r="1089">
      <c r="A1089" s="34"/>
      <c r="B1089" s="34"/>
      <c r="C1089" s="34"/>
      <c r="D1089" s="34"/>
      <c r="E1089" s="34"/>
      <c r="F1089" s="34"/>
      <c r="G1089" s="34"/>
      <c r="H1089" s="34"/>
      <c r="I1089" s="34"/>
      <c r="J1089" s="93"/>
      <c r="K1089" s="34"/>
      <c r="L1089" s="34"/>
      <c r="M1089" s="34"/>
      <c r="N1089" s="34"/>
      <c r="O1089" s="34"/>
      <c r="P1089" s="34"/>
      <c r="Q1089" s="34"/>
      <c r="R1089" s="34"/>
      <c r="S1089" s="34"/>
      <c r="T1089" s="34"/>
      <c r="U1089" s="34"/>
      <c r="V1089" s="34"/>
      <c r="W1089" s="34"/>
      <c r="X1089" s="34"/>
      <c r="Y1089" s="34"/>
      <c r="Z1089" s="34"/>
    </row>
    <row r="1090">
      <c r="A1090" s="34"/>
      <c r="B1090" s="34"/>
      <c r="C1090" s="34"/>
      <c r="D1090" s="34"/>
      <c r="E1090" s="34"/>
      <c r="F1090" s="34"/>
      <c r="G1090" s="34"/>
      <c r="H1090" s="34"/>
      <c r="I1090" s="34"/>
      <c r="J1090" s="93"/>
      <c r="K1090" s="34"/>
      <c r="L1090" s="34"/>
      <c r="M1090" s="34"/>
      <c r="N1090" s="34"/>
      <c r="O1090" s="34"/>
      <c r="P1090" s="34"/>
      <c r="Q1090" s="34"/>
      <c r="R1090" s="34"/>
      <c r="S1090" s="34"/>
      <c r="T1090" s="34"/>
      <c r="U1090" s="34"/>
      <c r="V1090" s="34"/>
      <c r="W1090" s="34"/>
      <c r="X1090" s="34"/>
      <c r="Y1090" s="34"/>
      <c r="Z1090" s="34"/>
    </row>
    <row r="1091">
      <c r="A1091" s="34"/>
      <c r="B1091" s="34"/>
      <c r="C1091" s="34"/>
      <c r="D1091" s="34"/>
      <c r="E1091" s="34"/>
      <c r="F1091" s="34"/>
      <c r="G1091" s="34"/>
      <c r="H1091" s="34"/>
      <c r="I1091" s="34"/>
      <c r="J1091" s="93"/>
      <c r="K1091" s="34"/>
      <c r="L1091" s="34"/>
      <c r="M1091" s="34"/>
      <c r="N1091" s="34"/>
      <c r="O1091" s="34"/>
      <c r="P1091" s="34"/>
      <c r="Q1091" s="34"/>
      <c r="R1091" s="34"/>
      <c r="S1091" s="34"/>
      <c r="T1091" s="34"/>
      <c r="U1091" s="34"/>
      <c r="V1091" s="34"/>
      <c r="W1091" s="34"/>
      <c r="X1091" s="34"/>
      <c r="Y1091" s="34"/>
      <c r="Z1091" s="34"/>
    </row>
    <row r="1092">
      <c r="A1092" s="34"/>
      <c r="B1092" s="34"/>
      <c r="C1092" s="34"/>
      <c r="D1092" s="34"/>
      <c r="E1092" s="34"/>
      <c r="F1092" s="34"/>
      <c r="G1092" s="34"/>
      <c r="H1092" s="34"/>
      <c r="I1092" s="34"/>
      <c r="J1092" s="93"/>
      <c r="K1092" s="34"/>
      <c r="L1092" s="34"/>
      <c r="M1092" s="34"/>
      <c r="N1092" s="34"/>
      <c r="O1092" s="34"/>
      <c r="P1092" s="34"/>
      <c r="Q1092" s="34"/>
      <c r="R1092" s="34"/>
      <c r="S1092" s="34"/>
      <c r="T1092" s="34"/>
      <c r="U1092" s="34"/>
      <c r="V1092" s="34"/>
      <c r="W1092" s="34"/>
      <c r="X1092" s="34"/>
      <c r="Y1092" s="34"/>
      <c r="Z1092" s="34"/>
    </row>
    <row r="1093">
      <c r="A1093" s="34"/>
      <c r="B1093" s="34"/>
      <c r="C1093" s="34"/>
      <c r="D1093" s="34"/>
      <c r="E1093" s="34"/>
      <c r="F1093" s="34"/>
      <c r="G1093" s="34"/>
      <c r="H1093" s="34"/>
      <c r="I1093" s="34"/>
      <c r="J1093" s="93"/>
      <c r="K1093" s="34"/>
      <c r="L1093" s="34"/>
      <c r="M1093" s="34"/>
      <c r="N1093" s="34"/>
      <c r="O1093" s="34"/>
      <c r="P1093" s="34"/>
      <c r="Q1093" s="34"/>
      <c r="R1093" s="34"/>
      <c r="S1093" s="34"/>
      <c r="T1093" s="34"/>
      <c r="U1093" s="34"/>
      <c r="V1093" s="34"/>
      <c r="W1093" s="34"/>
      <c r="X1093" s="34"/>
      <c r="Y1093" s="34"/>
      <c r="Z1093" s="34"/>
    </row>
    <row r="1094">
      <c r="A1094" s="34"/>
      <c r="B1094" s="34"/>
      <c r="C1094" s="34"/>
      <c r="D1094" s="34"/>
      <c r="E1094" s="34"/>
      <c r="F1094" s="34"/>
      <c r="G1094" s="34"/>
      <c r="H1094" s="34"/>
      <c r="I1094" s="34"/>
      <c r="J1094" s="93"/>
      <c r="K1094" s="34"/>
      <c r="L1094" s="34"/>
      <c r="M1094" s="34"/>
      <c r="N1094" s="34"/>
      <c r="O1094" s="34"/>
      <c r="P1094" s="34"/>
      <c r="Q1094" s="34"/>
      <c r="R1094" s="34"/>
      <c r="S1094" s="34"/>
      <c r="T1094" s="34"/>
      <c r="U1094" s="34"/>
      <c r="V1094" s="34"/>
      <c r="W1094" s="34"/>
      <c r="X1094" s="34"/>
      <c r="Y1094" s="34"/>
      <c r="Z1094" s="34"/>
    </row>
    <row r="1095">
      <c r="A1095" s="34"/>
      <c r="B1095" s="34"/>
      <c r="C1095" s="34"/>
      <c r="D1095" s="34"/>
      <c r="E1095" s="34"/>
      <c r="F1095" s="34"/>
      <c r="G1095" s="34"/>
      <c r="H1095" s="34"/>
      <c r="I1095" s="34"/>
      <c r="J1095" s="93"/>
      <c r="K1095" s="34"/>
      <c r="L1095" s="34"/>
      <c r="M1095" s="34"/>
      <c r="N1095" s="34"/>
      <c r="O1095" s="34"/>
      <c r="P1095" s="34"/>
      <c r="Q1095" s="34"/>
      <c r="R1095" s="34"/>
      <c r="S1095" s="34"/>
      <c r="T1095" s="34"/>
      <c r="U1095" s="34"/>
      <c r="V1095" s="34"/>
      <c r="W1095" s="34"/>
      <c r="X1095" s="34"/>
      <c r="Y1095" s="34"/>
      <c r="Z1095" s="34"/>
    </row>
    <row r="1096">
      <c r="A1096" s="34"/>
      <c r="B1096" s="34"/>
      <c r="C1096" s="34"/>
      <c r="D1096" s="34"/>
      <c r="E1096" s="34"/>
      <c r="F1096" s="34"/>
      <c r="G1096" s="34"/>
      <c r="H1096" s="34"/>
      <c r="I1096" s="34"/>
      <c r="J1096" s="93"/>
      <c r="K1096" s="34"/>
      <c r="L1096" s="34"/>
      <c r="M1096" s="34"/>
      <c r="N1096" s="34"/>
      <c r="O1096" s="34"/>
      <c r="P1096" s="34"/>
      <c r="Q1096" s="34"/>
      <c r="R1096" s="34"/>
      <c r="S1096" s="34"/>
      <c r="T1096" s="34"/>
      <c r="U1096" s="34"/>
      <c r="V1096" s="34"/>
      <c r="W1096" s="34"/>
      <c r="X1096" s="34"/>
      <c r="Y1096" s="34"/>
      <c r="Z1096" s="34"/>
    </row>
    <row r="1097">
      <c r="A1097" s="34"/>
      <c r="B1097" s="34"/>
      <c r="C1097" s="34"/>
      <c r="D1097" s="34"/>
      <c r="E1097" s="34"/>
      <c r="F1097" s="34"/>
      <c r="G1097" s="34"/>
      <c r="H1097" s="34"/>
      <c r="I1097" s="34"/>
      <c r="J1097" s="93"/>
      <c r="K1097" s="34"/>
      <c r="L1097" s="34"/>
      <c r="M1097" s="34"/>
      <c r="N1097" s="34"/>
      <c r="O1097" s="34"/>
      <c r="P1097" s="34"/>
      <c r="Q1097" s="34"/>
      <c r="R1097" s="34"/>
      <c r="S1097" s="34"/>
      <c r="T1097" s="34"/>
      <c r="U1097" s="34"/>
      <c r="V1097" s="34"/>
      <c r="W1097" s="34"/>
      <c r="X1097" s="34"/>
      <c r="Y1097" s="34"/>
      <c r="Z1097" s="34"/>
    </row>
    <row r="1098">
      <c r="A1098" s="34"/>
      <c r="B1098" s="34"/>
      <c r="C1098" s="34"/>
      <c r="D1098" s="34"/>
      <c r="E1098" s="34"/>
      <c r="F1098" s="34"/>
      <c r="G1098" s="34"/>
      <c r="H1098" s="34"/>
      <c r="I1098" s="34"/>
      <c r="J1098" s="93"/>
      <c r="K1098" s="34"/>
      <c r="L1098" s="34"/>
      <c r="M1098" s="34"/>
      <c r="N1098" s="34"/>
      <c r="O1098" s="34"/>
      <c r="P1098" s="34"/>
      <c r="Q1098" s="34"/>
      <c r="R1098" s="34"/>
      <c r="S1098" s="34"/>
      <c r="T1098" s="34"/>
      <c r="U1098" s="34"/>
      <c r="V1098" s="34"/>
      <c r="W1098" s="34"/>
      <c r="X1098" s="34"/>
      <c r="Y1098" s="34"/>
      <c r="Z1098" s="34"/>
    </row>
    <row r="1099">
      <c r="A1099" s="34"/>
      <c r="B1099" s="34"/>
      <c r="C1099" s="34"/>
      <c r="D1099" s="34"/>
      <c r="E1099" s="34"/>
      <c r="F1099" s="34"/>
      <c r="G1099" s="34"/>
      <c r="H1099" s="34"/>
      <c r="I1099" s="34"/>
      <c r="J1099" s="93"/>
      <c r="K1099" s="34"/>
      <c r="L1099" s="34"/>
      <c r="M1099" s="34"/>
      <c r="N1099" s="34"/>
      <c r="O1099" s="34"/>
      <c r="P1099" s="34"/>
      <c r="Q1099" s="34"/>
      <c r="R1099" s="34"/>
      <c r="S1099" s="34"/>
      <c r="T1099" s="34"/>
      <c r="U1099" s="34"/>
      <c r="V1099" s="34"/>
      <c r="W1099" s="34"/>
      <c r="X1099" s="34"/>
      <c r="Y1099" s="34"/>
      <c r="Z1099" s="34"/>
    </row>
    <row r="1100">
      <c r="A1100" s="34"/>
      <c r="B1100" s="34"/>
      <c r="C1100" s="34"/>
      <c r="D1100" s="34"/>
      <c r="E1100" s="34"/>
      <c r="F1100" s="34"/>
      <c r="G1100" s="34"/>
      <c r="H1100" s="34"/>
      <c r="I1100" s="34"/>
      <c r="J1100" s="93"/>
      <c r="K1100" s="34"/>
      <c r="L1100" s="34"/>
      <c r="M1100" s="34"/>
      <c r="N1100" s="34"/>
      <c r="O1100" s="34"/>
      <c r="P1100" s="34"/>
      <c r="Q1100" s="34"/>
      <c r="R1100" s="34"/>
      <c r="S1100" s="34"/>
      <c r="T1100" s="34"/>
      <c r="U1100" s="34"/>
      <c r="V1100" s="34"/>
      <c r="W1100" s="34"/>
      <c r="X1100" s="34"/>
      <c r="Y1100" s="34"/>
      <c r="Z1100" s="34"/>
    </row>
    <row r="1101">
      <c r="A1101" s="34"/>
      <c r="B1101" s="34"/>
      <c r="C1101" s="34"/>
      <c r="D1101" s="34"/>
      <c r="E1101" s="34"/>
      <c r="F1101" s="34"/>
      <c r="G1101" s="34"/>
      <c r="H1101" s="34"/>
      <c r="I1101" s="34"/>
      <c r="J1101" s="93"/>
      <c r="K1101" s="34"/>
      <c r="L1101" s="34"/>
      <c r="M1101" s="34"/>
      <c r="N1101" s="34"/>
      <c r="O1101" s="34"/>
      <c r="P1101" s="34"/>
      <c r="Q1101" s="34"/>
      <c r="R1101" s="34"/>
      <c r="S1101" s="34"/>
      <c r="T1101" s="34"/>
      <c r="U1101" s="34"/>
      <c r="V1101" s="34"/>
      <c r="W1101" s="34"/>
      <c r="X1101" s="34"/>
      <c r="Y1101" s="34"/>
      <c r="Z1101" s="34"/>
    </row>
    <row r="1102">
      <c r="A1102" s="34"/>
      <c r="B1102" s="34"/>
      <c r="C1102" s="34"/>
      <c r="D1102" s="34"/>
      <c r="E1102" s="34"/>
      <c r="F1102" s="34"/>
      <c r="G1102" s="34"/>
      <c r="H1102" s="34"/>
      <c r="I1102" s="34"/>
      <c r="J1102" s="93"/>
      <c r="K1102" s="34"/>
      <c r="L1102" s="34"/>
      <c r="M1102" s="34"/>
      <c r="N1102" s="34"/>
      <c r="O1102" s="34"/>
      <c r="P1102" s="34"/>
      <c r="Q1102" s="34"/>
      <c r="R1102" s="34"/>
      <c r="S1102" s="34"/>
      <c r="T1102" s="34"/>
      <c r="U1102" s="34"/>
      <c r="V1102" s="34"/>
      <c r="W1102" s="34"/>
      <c r="X1102" s="34"/>
      <c r="Y1102" s="34"/>
      <c r="Z1102" s="34"/>
    </row>
    <row r="1103">
      <c r="A1103" s="34"/>
      <c r="B1103" s="34"/>
      <c r="C1103" s="34"/>
      <c r="D1103" s="34"/>
      <c r="E1103" s="34"/>
      <c r="F1103" s="34"/>
      <c r="G1103" s="34"/>
      <c r="H1103" s="34"/>
      <c r="I1103" s="34"/>
      <c r="J1103" s="93"/>
      <c r="K1103" s="34"/>
      <c r="L1103" s="34"/>
      <c r="M1103" s="34"/>
      <c r="N1103" s="34"/>
      <c r="O1103" s="34"/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</row>
    <row r="1104">
      <c r="A1104" s="34"/>
      <c r="B1104" s="34"/>
      <c r="C1104" s="34"/>
      <c r="D1104" s="34"/>
      <c r="E1104" s="34"/>
      <c r="F1104" s="34"/>
      <c r="G1104" s="34"/>
      <c r="H1104" s="34"/>
      <c r="I1104" s="34"/>
      <c r="J1104" s="93"/>
      <c r="K1104" s="34"/>
      <c r="L1104" s="34"/>
      <c r="M1104" s="34"/>
      <c r="N1104" s="34"/>
      <c r="O1104" s="34"/>
      <c r="P1104" s="34"/>
      <c r="Q1104" s="34"/>
      <c r="R1104" s="34"/>
      <c r="S1104" s="34"/>
      <c r="T1104" s="34"/>
      <c r="U1104" s="34"/>
      <c r="V1104" s="34"/>
      <c r="W1104" s="34"/>
      <c r="X1104" s="34"/>
      <c r="Y1104" s="34"/>
      <c r="Z1104" s="34"/>
    </row>
    <row r="1105">
      <c r="A1105" s="34"/>
      <c r="B1105" s="34"/>
      <c r="C1105" s="34"/>
      <c r="D1105" s="34"/>
      <c r="E1105" s="34"/>
      <c r="F1105" s="34"/>
      <c r="G1105" s="34"/>
      <c r="H1105" s="34"/>
      <c r="I1105" s="34"/>
      <c r="J1105" s="93"/>
      <c r="K1105" s="34"/>
      <c r="L1105" s="34"/>
      <c r="M1105" s="34"/>
      <c r="N1105" s="34"/>
      <c r="O1105" s="34"/>
      <c r="P1105" s="34"/>
      <c r="Q1105" s="34"/>
      <c r="R1105" s="34"/>
      <c r="S1105" s="34"/>
      <c r="T1105" s="34"/>
      <c r="U1105" s="34"/>
      <c r="V1105" s="34"/>
      <c r="W1105" s="34"/>
      <c r="X1105" s="34"/>
      <c r="Y1105" s="34"/>
      <c r="Z1105" s="34"/>
    </row>
    <row r="1106">
      <c r="A1106" s="34"/>
      <c r="B1106" s="34"/>
      <c r="C1106" s="34"/>
      <c r="D1106" s="34"/>
      <c r="E1106" s="34"/>
      <c r="F1106" s="34"/>
      <c r="G1106" s="34"/>
      <c r="H1106" s="34"/>
      <c r="I1106" s="34"/>
      <c r="J1106" s="93"/>
      <c r="K1106" s="34"/>
      <c r="L1106" s="34"/>
      <c r="M1106" s="34"/>
      <c r="N1106" s="34"/>
      <c r="O1106" s="34"/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</row>
    <row r="1107">
      <c r="A1107" s="34"/>
      <c r="B1107" s="34"/>
      <c r="C1107" s="34"/>
      <c r="D1107" s="34"/>
      <c r="E1107" s="34"/>
      <c r="F1107" s="34"/>
      <c r="G1107" s="34"/>
      <c r="H1107" s="34"/>
      <c r="I1107" s="34"/>
      <c r="J1107" s="93"/>
      <c r="K1107" s="34"/>
      <c r="L1107" s="34"/>
      <c r="M1107" s="34"/>
      <c r="N1107" s="34"/>
      <c r="O1107" s="34"/>
      <c r="P1107" s="34"/>
      <c r="Q1107" s="34"/>
      <c r="R1107" s="34"/>
      <c r="S1107" s="34"/>
      <c r="T1107" s="34"/>
      <c r="U1107" s="34"/>
      <c r="V1107" s="34"/>
      <c r="W1107" s="34"/>
      <c r="X1107" s="34"/>
      <c r="Y1107" s="34"/>
      <c r="Z1107" s="34"/>
    </row>
    <row r="1108">
      <c r="A1108" s="34"/>
      <c r="B1108" s="34"/>
      <c r="C1108" s="34"/>
      <c r="D1108" s="34"/>
      <c r="E1108" s="34"/>
      <c r="F1108" s="34"/>
      <c r="G1108" s="34"/>
      <c r="H1108" s="34"/>
      <c r="I1108" s="34"/>
      <c r="J1108" s="93"/>
      <c r="K1108" s="34"/>
      <c r="L1108" s="34"/>
      <c r="M1108" s="34"/>
      <c r="N1108" s="34"/>
      <c r="O1108" s="34"/>
      <c r="P1108" s="34"/>
      <c r="Q1108" s="34"/>
      <c r="R1108" s="34"/>
      <c r="S1108" s="34"/>
      <c r="T1108" s="34"/>
      <c r="U1108" s="34"/>
      <c r="V1108" s="34"/>
      <c r="W1108" s="34"/>
      <c r="X1108" s="34"/>
      <c r="Y1108" s="34"/>
      <c r="Z1108" s="34"/>
    </row>
    <row r="1109">
      <c r="A1109" s="34"/>
      <c r="B1109" s="34"/>
      <c r="C1109" s="34"/>
      <c r="D1109" s="34"/>
      <c r="E1109" s="34"/>
      <c r="F1109" s="34"/>
      <c r="G1109" s="34"/>
      <c r="H1109" s="34"/>
      <c r="I1109" s="34"/>
      <c r="J1109" s="93"/>
      <c r="K1109" s="34"/>
      <c r="L1109" s="34"/>
      <c r="M1109" s="34"/>
      <c r="N1109" s="34"/>
      <c r="O1109" s="34"/>
      <c r="P1109" s="34"/>
      <c r="Q1109" s="34"/>
      <c r="R1109" s="34"/>
      <c r="S1109" s="34"/>
      <c r="T1109" s="34"/>
      <c r="U1109" s="34"/>
      <c r="V1109" s="34"/>
      <c r="W1109" s="34"/>
      <c r="X1109" s="34"/>
      <c r="Y1109" s="34"/>
      <c r="Z1109" s="34"/>
    </row>
    <row r="1110">
      <c r="A1110" s="34"/>
      <c r="B1110" s="34"/>
      <c r="C1110" s="34"/>
      <c r="D1110" s="34"/>
      <c r="E1110" s="34"/>
      <c r="F1110" s="34"/>
      <c r="G1110" s="34"/>
      <c r="H1110" s="34"/>
      <c r="I1110" s="34"/>
      <c r="J1110" s="93"/>
      <c r="K1110" s="34"/>
      <c r="L1110" s="34"/>
      <c r="M1110" s="34"/>
      <c r="N1110" s="34"/>
      <c r="O1110" s="34"/>
      <c r="P1110" s="34"/>
      <c r="Q1110" s="34"/>
      <c r="R1110" s="34"/>
      <c r="S1110" s="34"/>
      <c r="T1110" s="34"/>
      <c r="U1110" s="34"/>
      <c r="V1110" s="34"/>
      <c r="W1110" s="34"/>
      <c r="X1110" s="34"/>
      <c r="Y1110" s="34"/>
      <c r="Z1110" s="34"/>
    </row>
    <row r="1111">
      <c r="A1111" s="34"/>
      <c r="B1111" s="34"/>
      <c r="C1111" s="34"/>
      <c r="D1111" s="34"/>
      <c r="E1111" s="34"/>
      <c r="F1111" s="34"/>
      <c r="G1111" s="34"/>
      <c r="H1111" s="34"/>
      <c r="I1111" s="34"/>
      <c r="J1111" s="93"/>
      <c r="K1111" s="34"/>
      <c r="L1111" s="34"/>
      <c r="M1111" s="34"/>
      <c r="N1111" s="34"/>
      <c r="O1111" s="34"/>
      <c r="P1111" s="34"/>
      <c r="Q1111" s="34"/>
      <c r="R1111" s="34"/>
      <c r="S1111" s="34"/>
      <c r="T1111" s="34"/>
      <c r="U1111" s="34"/>
      <c r="V1111" s="34"/>
      <c r="W1111" s="34"/>
      <c r="X1111" s="34"/>
      <c r="Y1111" s="34"/>
      <c r="Z1111" s="34"/>
    </row>
    <row r="1112">
      <c r="A1112" s="34"/>
      <c r="B1112" s="34"/>
      <c r="C1112" s="34"/>
      <c r="D1112" s="34"/>
      <c r="E1112" s="34"/>
      <c r="F1112" s="34"/>
      <c r="G1112" s="34"/>
      <c r="H1112" s="34"/>
      <c r="I1112" s="34"/>
      <c r="J1112" s="93"/>
      <c r="K1112" s="34"/>
      <c r="L1112" s="34"/>
      <c r="M1112" s="34"/>
      <c r="N1112" s="34"/>
      <c r="O1112" s="34"/>
      <c r="P1112" s="34"/>
      <c r="Q1112" s="34"/>
      <c r="R1112" s="34"/>
      <c r="S1112" s="34"/>
      <c r="T1112" s="34"/>
      <c r="U1112" s="34"/>
      <c r="V1112" s="34"/>
      <c r="W1112" s="34"/>
      <c r="X1112" s="34"/>
      <c r="Y1112" s="34"/>
      <c r="Z1112" s="34"/>
    </row>
    <row r="1113">
      <c r="A1113" s="34"/>
      <c r="B1113" s="34"/>
      <c r="C1113" s="34"/>
      <c r="D1113" s="34"/>
      <c r="E1113" s="34"/>
      <c r="F1113" s="34"/>
      <c r="G1113" s="34"/>
      <c r="H1113" s="34"/>
      <c r="I1113" s="34"/>
      <c r="J1113" s="93"/>
      <c r="K1113" s="34"/>
      <c r="L1113" s="34"/>
      <c r="M1113" s="34"/>
      <c r="N1113" s="34"/>
      <c r="O1113" s="34"/>
      <c r="P1113" s="34"/>
      <c r="Q1113" s="34"/>
      <c r="R1113" s="34"/>
      <c r="S1113" s="34"/>
      <c r="T1113" s="34"/>
      <c r="U1113" s="34"/>
      <c r="V1113" s="34"/>
      <c r="W1113" s="34"/>
      <c r="X1113" s="34"/>
      <c r="Y1113" s="34"/>
      <c r="Z1113" s="34"/>
    </row>
    <row r="1114">
      <c r="A1114" s="34"/>
      <c r="B1114" s="34"/>
      <c r="C1114" s="34"/>
      <c r="D1114" s="34"/>
      <c r="E1114" s="34"/>
      <c r="F1114" s="34"/>
      <c r="G1114" s="34"/>
      <c r="H1114" s="34"/>
      <c r="I1114" s="34"/>
      <c r="J1114" s="93"/>
      <c r="K1114" s="34"/>
      <c r="L1114" s="34"/>
      <c r="M1114" s="34"/>
      <c r="N1114" s="34"/>
      <c r="O1114" s="34"/>
      <c r="P1114" s="34"/>
      <c r="Q1114" s="34"/>
      <c r="R1114" s="34"/>
      <c r="S1114" s="34"/>
      <c r="T1114" s="34"/>
      <c r="U1114" s="34"/>
      <c r="V1114" s="34"/>
      <c r="W1114" s="34"/>
      <c r="X1114" s="34"/>
      <c r="Y1114" s="34"/>
      <c r="Z1114" s="34"/>
    </row>
    <row r="1115">
      <c r="A1115" s="34"/>
      <c r="B1115" s="34"/>
      <c r="C1115" s="34"/>
      <c r="D1115" s="34"/>
      <c r="E1115" s="34"/>
      <c r="F1115" s="34"/>
      <c r="G1115" s="34"/>
      <c r="H1115" s="34"/>
      <c r="I1115" s="34"/>
      <c r="J1115" s="93"/>
      <c r="K1115" s="34"/>
      <c r="L1115" s="34"/>
      <c r="M1115" s="34"/>
      <c r="N1115" s="34"/>
      <c r="O1115" s="34"/>
      <c r="P1115" s="34"/>
      <c r="Q1115" s="34"/>
      <c r="R1115" s="34"/>
      <c r="S1115" s="34"/>
      <c r="T1115" s="34"/>
      <c r="U1115" s="34"/>
      <c r="V1115" s="34"/>
      <c r="W1115" s="34"/>
      <c r="X1115" s="34"/>
      <c r="Y1115" s="34"/>
      <c r="Z1115" s="34"/>
    </row>
    <row r="1116">
      <c r="A1116" s="34"/>
      <c r="B1116" s="34"/>
      <c r="C1116" s="34"/>
      <c r="D1116" s="34"/>
      <c r="E1116" s="34"/>
      <c r="F1116" s="34"/>
      <c r="G1116" s="34"/>
      <c r="H1116" s="34"/>
      <c r="I1116" s="34"/>
      <c r="J1116" s="93"/>
      <c r="K1116" s="34"/>
      <c r="L1116" s="34"/>
      <c r="M1116" s="34"/>
      <c r="N1116" s="34"/>
      <c r="O1116" s="34"/>
      <c r="P1116" s="34"/>
      <c r="Q1116" s="34"/>
      <c r="R1116" s="34"/>
      <c r="S1116" s="34"/>
      <c r="T1116" s="34"/>
      <c r="U1116" s="34"/>
      <c r="V1116" s="34"/>
      <c r="W1116" s="34"/>
      <c r="X1116" s="34"/>
      <c r="Y1116" s="34"/>
      <c r="Z1116" s="34"/>
    </row>
    <row r="1117">
      <c r="A1117" s="34"/>
      <c r="B1117" s="34"/>
      <c r="C1117" s="34"/>
      <c r="D1117" s="34"/>
      <c r="E1117" s="34"/>
      <c r="F1117" s="34"/>
      <c r="G1117" s="34"/>
      <c r="H1117" s="34"/>
      <c r="I1117" s="34"/>
      <c r="J1117" s="93"/>
      <c r="K1117" s="34"/>
      <c r="L1117" s="34"/>
      <c r="M1117" s="34"/>
      <c r="N1117" s="34"/>
      <c r="O1117" s="34"/>
      <c r="P1117" s="34"/>
      <c r="Q1117" s="34"/>
      <c r="R1117" s="34"/>
      <c r="S1117" s="34"/>
      <c r="T1117" s="34"/>
      <c r="U1117" s="34"/>
      <c r="V1117" s="34"/>
      <c r="W1117" s="34"/>
      <c r="X1117" s="34"/>
      <c r="Y1117" s="34"/>
      <c r="Z1117" s="34"/>
    </row>
    <row r="1118">
      <c r="A1118" s="34"/>
      <c r="B1118" s="34"/>
      <c r="C1118" s="34"/>
      <c r="D1118" s="34"/>
      <c r="E1118" s="34"/>
      <c r="F1118" s="34"/>
      <c r="G1118" s="34"/>
      <c r="H1118" s="34"/>
      <c r="I1118" s="34"/>
      <c r="J1118" s="93"/>
      <c r="K1118" s="34"/>
      <c r="L1118" s="34"/>
      <c r="M1118" s="34"/>
      <c r="N1118" s="34"/>
      <c r="O1118" s="34"/>
      <c r="P1118" s="34"/>
      <c r="Q1118" s="34"/>
      <c r="R1118" s="34"/>
      <c r="S1118" s="34"/>
      <c r="T1118" s="34"/>
      <c r="U1118" s="34"/>
      <c r="V1118" s="34"/>
      <c r="W1118" s="34"/>
      <c r="X1118" s="34"/>
      <c r="Y1118" s="34"/>
      <c r="Z1118" s="34"/>
    </row>
    <row r="1119">
      <c r="A1119" s="34"/>
      <c r="B1119" s="34"/>
      <c r="C1119" s="34"/>
      <c r="D1119" s="34"/>
      <c r="E1119" s="34"/>
      <c r="F1119" s="34"/>
      <c r="G1119" s="34"/>
      <c r="H1119" s="34"/>
      <c r="I1119" s="34"/>
      <c r="J1119" s="93"/>
      <c r="K1119" s="34"/>
      <c r="L1119" s="34"/>
      <c r="M1119" s="34"/>
      <c r="N1119" s="34"/>
      <c r="O1119" s="34"/>
      <c r="P1119" s="34"/>
      <c r="Q1119" s="34"/>
      <c r="R1119" s="34"/>
      <c r="S1119" s="34"/>
      <c r="T1119" s="34"/>
      <c r="U1119" s="34"/>
      <c r="V1119" s="34"/>
      <c r="W1119" s="34"/>
      <c r="X1119" s="34"/>
      <c r="Y1119" s="34"/>
      <c r="Z1119" s="34"/>
    </row>
    <row r="1120">
      <c r="A1120" s="34"/>
      <c r="B1120" s="34"/>
      <c r="C1120" s="34"/>
      <c r="D1120" s="34"/>
      <c r="E1120" s="34"/>
      <c r="F1120" s="34"/>
      <c r="G1120" s="34"/>
      <c r="H1120" s="34"/>
      <c r="I1120" s="34"/>
      <c r="J1120" s="93"/>
      <c r="K1120" s="34"/>
      <c r="L1120" s="34"/>
      <c r="M1120" s="34"/>
      <c r="N1120" s="34"/>
      <c r="O1120" s="34"/>
      <c r="P1120" s="34"/>
      <c r="Q1120" s="34"/>
      <c r="R1120" s="34"/>
      <c r="S1120" s="34"/>
      <c r="T1120" s="34"/>
      <c r="U1120" s="34"/>
      <c r="V1120" s="34"/>
      <c r="W1120" s="34"/>
      <c r="X1120" s="34"/>
      <c r="Y1120" s="34"/>
      <c r="Z1120" s="34"/>
    </row>
    <row r="1121">
      <c r="A1121" s="34"/>
      <c r="B1121" s="34"/>
      <c r="C1121" s="34"/>
      <c r="D1121" s="34"/>
      <c r="E1121" s="34"/>
      <c r="F1121" s="34"/>
      <c r="G1121" s="34"/>
      <c r="H1121" s="34"/>
      <c r="I1121" s="34"/>
      <c r="J1121" s="93"/>
      <c r="K1121" s="34"/>
      <c r="L1121" s="34"/>
      <c r="M1121" s="34"/>
      <c r="N1121" s="34"/>
      <c r="O1121" s="34"/>
      <c r="P1121" s="34"/>
      <c r="Q1121" s="34"/>
      <c r="R1121" s="34"/>
      <c r="S1121" s="34"/>
      <c r="T1121" s="34"/>
      <c r="U1121" s="34"/>
      <c r="V1121" s="34"/>
      <c r="W1121" s="34"/>
      <c r="X1121" s="34"/>
      <c r="Y1121" s="34"/>
      <c r="Z1121" s="34"/>
    </row>
    <row r="1122">
      <c r="A1122" s="34"/>
      <c r="B1122" s="34"/>
      <c r="C1122" s="34"/>
      <c r="D1122" s="34"/>
      <c r="E1122" s="34"/>
      <c r="F1122" s="34"/>
      <c r="G1122" s="34"/>
      <c r="H1122" s="34"/>
      <c r="I1122" s="34"/>
      <c r="J1122" s="93"/>
      <c r="K1122" s="34"/>
      <c r="L1122" s="34"/>
      <c r="M1122" s="34"/>
      <c r="N1122" s="34"/>
      <c r="O1122" s="34"/>
      <c r="P1122" s="34"/>
      <c r="Q1122" s="34"/>
      <c r="R1122" s="34"/>
      <c r="S1122" s="34"/>
      <c r="T1122" s="34"/>
      <c r="U1122" s="34"/>
      <c r="V1122" s="34"/>
      <c r="W1122" s="34"/>
      <c r="X1122" s="34"/>
      <c r="Y1122" s="34"/>
      <c r="Z1122" s="34"/>
    </row>
    <row r="1123">
      <c r="A1123" s="34"/>
      <c r="B1123" s="34"/>
      <c r="C1123" s="34"/>
      <c r="D1123" s="34"/>
      <c r="E1123" s="34"/>
      <c r="F1123" s="34"/>
      <c r="G1123" s="34"/>
      <c r="H1123" s="34"/>
      <c r="I1123" s="34"/>
      <c r="J1123" s="93"/>
      <c r="K1123" s="34"/>
      <c r="L1123" s="34"/>
      <c r="M1123" s="34"/>
      <c r="N1123" s="34"/>
      <c r="O1123" s="34"/>
      <c r="P1123" s="34"/>
      <c r="Q1123" s="34"/>
      <c r="R1123" s="34"/>
      <c r="S1123" s="34"/>
      <c r="T1123" s="34"/>
      <c r="U1123" s="34"/>
      <c r="V1123" s="34"/>
      <c r="W1123" s="34"/>
      <c r="X1123" s="34"/>
      <c r="Y1123" s="34"/>
      <c r="Z1123" s="34"/>
    </row>
    <row r="1124">
      <c r="A1124" s="34"/>
      <c r="B1124" s="34"/>
      <c r="C1124" s="34"/>
      <c r="D1124" s="34"/>
      <c r="E1124" s="34"/>
      <c r="F1124" s="34"/>
      <c r="G1124" s="34"/>
      <c r="H1124" s="34"/>
      <c r="I1124" s="34"/>
      <c r="J1124" s="93"/>
      <c r="K1124" s="34"/>
      <c r="L1124" s="34"/>
      <c r="M1124" s="34"/>
      <c r="N1124" s="34"/>
      <c r="O1124" s="34"/>
      <c r="P1124" s="34"/>
      <c r="Q1124" s="34"/>
      <c r="R1124" s="34"/>
      <c r="S1124" s="34"/>
      <c r="T1124" s="34"/>
      <c r="U1124" s="34"/>
      <c r="V1124" s="34"/>
      <c r="W1124" s="34"/>
      <c r="X1124" s="34"/>
      <c r="Y1124" s="34"/>
      <c r="Z1124" s="34"/>
    </row>
    <row r="1125">
      <c r="A1125" s="34"/>
      <c r="B1125" s="34"/>
      <c r="C1125" s="34"/>
      <c r="D1125" s="34"/>
      <c r="E1125" s="34"/>
      <c r="F1125" s="34"/>
      <c r="G1125" s="34"/>
      <c r="H1125" s="34"/>
      <c r="I1125" s="34"/>
      <c r="J1125" s="93"/>
      <c r="K1125" s="34"/>
      <c r="L1125" s="34"/>
      <c r="M1125" s="34"/>
      <c r="N1125" s="34"/>
      <c r="O1125" s="34"/>
      <c r="P1125" s="34"/>
      <c r="Q1125" s="34"/>
      <c r="R1125" s="34"/>
      <c r="S1125" s="34"/>
      <c r="T1125" s="34"/>
      <c r="U1125" s="34"/>
      <c r="V1125" s="34"/>
      <c r="W1125" s="34"/>
      <c r="X1125" s="34"/>
      <c r="Y1125" s="34"/>
      <c r="Z1125" s="34"/>
    </row>
    <row r="1126">
      <c r="A1126" s="34"/>
      <c r="B1126" s="34"/>
      <c r="C1126" s="34"/>
      <c r="D1126" s="34"/>
      <c r="E1126" s="34"/>
      <c r="F1126" s="34"/>
      <c r="G1126" s="34"/>
      <c r="H1126" s="34"/>
      <c r="I1126" s="34"/>
      <c r="J1126" s="93"/>
      <c r="K1126" s="34"/>
      <c r="L1126" s="34"/>
      <c r="M1126" s="34"/>
      <c r="N1126" s="34"/>
      <c r="O1126" s="34"/>
      <c r="P1126" s="34"/>
      <c r="Q1126" s="34"/>
      <c r="R1126" s="34"/>
      <c r="S1126" s="34"/>
      <c r="T1126" s="34"/>
      <c r="U1126" s="34"/>
      <c r="V1126" s="34"/>
      <c r="W1126" s="34"/>
      <c r="X1126" s="34"/>
      <c r="Y1126" s="34"/>
      <c r="Z1126" s="34"/>
    </row>
    <row r="1127">
      <c r="A1127" s="34"/>
      <c r="B1127" s="34"/>
      <c r="C1127" s="34"/>
      <c r="D1127" s="34"/>
      <c r="E1127" s="34"/>
      <c r="F1127" s="34"/>
      <c r="G1127" s="34"/>
      <c r="H1127" s="34"/>
      <c r="I1127" s="34"/>
      <c r="J1127" s="93"/>
      <c r="K1127" s="34"/>
      <c r="L1127" s="34"/>
      <c r="M1127" s="34"/>
      <c r="N1127" s="34"/>
      <c r="O1127" s="34"/>
      <c r="P1127" s="34"/>
      <c r="Q1127" s="34"/>
      <c r="R1127" s="34"/>
      <c r="S1127" s="34"/>
      <c r="T1127" s="34"/>
      <c r="U1127" s="34"/>
      <c r="V1127" s="34"/>
      <c r="W1127" s="34"/>
      <c r="X1127" s="34"/>
      <c r="Y1127" s="34"/>
      <c r="Z1127" s="34"/>
    </row>
    <row r="1128">
      <c r="A1128" s="34"/>
      <c r="B1128" s="34"/>
      <c r="C1128" s="34"/>
      <c r="D1128" s="34"/>
      <c r="E1128" s="34"/>
      <c r="F1128" s="34"/>
      <c r="G1128" s="34"/>
      <c r="H1128" s="34"/>
      <c r="I1128" s="34"/>
      <c r="J1128" s="93"/>
      <c r="K1128" s="34"/>
      <c r="L1128" s="34"/>
      <c r="M1128" s="34"/>
      <c r="N1128" s="34"/>
      <c r="O1128" s="34"/>
      <c r="P1128" s="34"/>
      <c r="Q1128" s="34"/>
      <c r="R1128" s="34"/>
      <c r="S1128" s="34"/>
      <c r="T1128" s="34"/>
      <c r="U1128" s="34"/>
      <c r="V1128" s="34"/>
      <c r="W1128" s="34"/>
      <c r="X1128" s="34"/>
      <c r="Y1128" s="34"/>
      <c r="Z1128" s="34"/>
    </row>
    <row r="1129">
      <c r="A1129" s="34"/>
      <c r="B1129" s="34"/>
      <c r="C1129" s="34"/>
      <c r="D1129" s="34"/>
      <c r="E1129" s="34"/>
      <c r="F1129" s="34"/>
      <c r="G1129" s="34"/>
      <c r="H1129" s="34"/>
      <c r="I1129" s="34"/>
      <c r="J1129" s="93"/>
      <c r="K1129" s="34"/>
      <c r="L1129" s="34"/>
      <c r="M1129" s="34"/>
      <c r="N1129" s="34"/>
      <c r="O1129" s="34"/>
      <c r="P1129" s="34"/>
      <c r="Q1129" s="34"/>
      <c r="R1129" s="34"/>
      <c r="S1129" s="34"/>
      <c r="T1129" s="34"/>
      <c r="U1129" s="34"/>
      <c r="V1129" s="34"/>
      <c r="W1129" s="34"/>
      <c r="X1129" s="34"/>
      <c r="Y1129" s="34"/>
      <c r="Z1129" s="34"/>
    </row>
    <row r="1130">
      <c r="A1130" s="34"/>
      <c r="B1130" s="34"/>
      <c r="C1130" s="34"/>
      <c r="D1130" s="34"/>
      <c r="E1130" s="34"/>
      <c r="F1130" s="34"/>
      <c r="G1130" s="34"/>
      <c r="H1130" s="34"/>
      <c r="I1130" s="34"/>
      <c r="J1130" s="93"/>
      <c r="K1130" s="34"/>
      <c r="L1130" s="34"/>
      <c r="M1130" s="34"/>
      <c r="N1130" s="34"/>
      <c r="O1130" s="34"/>
      <c r="P1130" s="34"/>
      <c r="Q1130" s="34"/>
      <c r="R1130" s="34"/>
      <c r="S1130" s="34"/>
      <c r="T1130" s="34"/>
      <c r="U1130" s="34"/>
      <c r="V1130" s="34"/>
      <c r="W1130" s="34"/>
      <c r="X1130" s="34"/>
      <c r="Y1130" s="34"/>
      <c r="Z1130" s="34"/>
    </row>
    <row r="1131">
      <c r="A1131" s="34"/>
      <c r="B1131" s="34"/>
      <c r="C1131" s="34"/>
      <c r="D1131" s="34"/>
      <c r="E1131" s="34"/>
      <c r="F1131" s="34"/>
      <c r="G1131" s="34"/>
      <c r="H1131" s="34"/>
      <c r="I1131" s="34"/>
      <c r="J1131" s="93"/>
      <c r="K1131" s="34"/>
      <c r="L1131" s="34"/>
      <c r="M1131" s="34"/>
      <c r="N1131" s="34"/>
      <c r="O1131" s="34"/>
      <c r="P1131" s="34"/>
      <c r="Q1131" s="34"/>
      <c r="R1131" s="34"/>
      <c r="S1131" s="34"/>
      <c r="T1131" s="34"/>
      <c r="U1131" s="34"/>
      <c r="V1131" s="34"/>
      <c r="W1131" s="34"/>
      <c r="X1131" s="34"/>
      <c r="Y1131" s="34"/>
      <c r="Z1131" s="34"/>
    </row>
    <row r="1132">
      <c r="A1132" s="34"/>
      <c r="B1132" s="34"/>
      <c r="C1132" s="34"/>
      <c r="D1132" s="34"/>
      <c r="E1132" s="34"/>
      <c r="F1132" s="34"/>
      <c r="G1132" s="34"/>
      <c r="H1132" s="34"/>
      <c r="I1132" s="34"/>
      <c r="J1132" s="93"/>
      <c r="K1132" s="34"/>
      <c r="L1132" s="34"/>
      <c r="M1132" s="34"/>
      <c r="N1132" s="34"/>
      <c r="O1132" s="34"/>
      <c r="P1132" s="34"/>
      <c r="Q1132" s="34"/>
      <c r="R1132" s="34"/>
      <c r="S1132" s="34"/>
      <c r="T1132" s="34"/>
      <c r="U1132" s="34"/>
      <c r="V1132" s="34"/>
      <c r="W1132" s="34"/>
      <c r="X1132" s="34"/>
      <c r="Y1132" s="34"/>
      <c r="Z1132" s="34"/>
    </row>
    <row r="1133">
      <c r="A1133" s="34"/>
      <c r="B1133" s="34"/>
      <c r="C1133" s="34"/>
      <c r="D1133" s="34"/>
      <c r="E1133" s="34"/>
      <c r="F1133" s="34"/>
      <c r="G1133" s="34"/>
      <c r="H1133" s="34"/>
      <c r="I1133" s="34"/>
      <c r="J1133" s="93"/>
      <c r="K1133" s="34"/>
      <c r="L1133" s="34"/>
      <c r="M1133" s="34"/>
      <c r="N1133" s="34"/>
      <c r="O1133" s="34"/>
      <c r="P1133" s="34"/>
      <c r="Q1133" s="34"/>
      <c r="R1133" s="34"/>
      <c r="S1133" s="34"/>
      <c r="T1133" s="34"/>
      <c r="U1133" s="34"/>
      <c r="V1133" s="34"/>
      <c r="W1133" s="34"/>
      <c r="X1133" s="34"/>
      <c r="Y1133" s="34"/>
      <c r="Z1133" s="34"/>
    </row>
    <row r="1134">
      <c r="A1134" s="34"/>
      <c r="B1134" s="34"/>
      <c r="C1134" s="34"/>
      <c r="D1134" s="34"/>
      <c r="E1134" s="34"/>
      <c r="F1134" s="34"/>
      <c r="G1134" s="34"/>
      <c r="H1134" s="34"/>
      <c r="I1134" s="34"/>
      <c r="J1134" s="93"/>
      <c r="K1134" s="34"/>
      <c r="L1134" s="34"/>
      <c r="M1134" s="34"/>
      <c r="N1134" s="34"/>
      <c r="O1134" s="34"/>
      <c r="P1134" s="34"/>
      <c r="Q1134" s="34"/>
      <c r="R1134" s="34"/>
      <c r="S1134" s="34"/>
      <c r="T1134" s="34"/>
      <c r="U1134" s="34"/>
      <c r="V1134" s="34"/>
      <c r="W1134" s="34"/>
      <c r="X1134" s="34"/>
      <c r="Y1134" s="34"/>
      <c r="Z1134" s="34"/>
    </row>
    <row r="1135">
      <c r="A1135" s="34"/>
      <c r="B1135" s="34"/>
      <c r="C1135" s="34"/>
      <c r="D1135" s="34"/>
      <c r="E1135" s="34"/>
      <c r="F1135" s="34"/>
      <c r="G1135" s="34"/>
      <c r="H1135" s="34"/>
      <c r="I1135" s="34"/>
      <c r="J1135" s="93"/>
      <c r="K1135" s="34"/>
      <c r="L1135" s="34"/>
      <c r="M1135" s="34"/>
      <c r="N1135" s="34"/>
      <c r="O1135" s="34"/>
      <c r="P1135" s="34"/>
      <c r="Q1135" s="34"/>
      <c r="R1135" s="34"/>
      <c r="S1135" s="34"/>
      <c r="T1135" s="34"/>
      <c r="U1135" s="34"/>
      <c r="V1135" s="34"/>
      <c r="W1135" s="34"/>
      <c r="X1135" s="34"/>
      <c r="Y1135" s="34"/>
      <c r="Z1135" s="34"/>
    </row>
    <row r="1136">
      <c r="A1136" s="34"/>
      <c r="B1136" s="34"/>
      <c r="C1136" s="34"/>
      <c r="D1136" s="34"/>
      <c r="E1136" s="34"/>
      <c r="F1136" s="34"/>
      <c r="G1136" s="34"/>
      <c r="H1136" s="34"/>
      <c r="I1136" s="34"/>
      <c r="J1136" s="93"/>
      <c r="K1136" s="34"/>
      <c r="L1136" s="34"/>
      <c r="M1136" s="34"/>
      <c r="N1136" s="34"/>
      <c r="O1136" s="34"/>
      <c r="P1136" s="34"/>
      <c r="Q1136" s="34"/>
      <c r="R1136" s="34"/>
      <c r="S1136" s="34"/>
      <c r="T1136" s="34"/>
      <c r="U1136" s="34"/>
      <c r="V1136" s="34"/>
      <c r="W1136" s="34"/>
      <c r="X1136" s="34"/>
      <c r="Y1136" s="34"/>
      <c r="Z1136" s="34"/>
    </row>
    <row r="1137">
      <c r="A1137" s="34"/>
      <c r="B1137" s="34"/>
      <c r="C1137" s="34"/>
      <c r="D1137" s="34"/>
      <c r="E1137" s="34"/>
      <c r="F1137" s="34"/>
      <c r="G1137" s="34"/>
      <c r="H1137" s="34"/>
      <c r="I1137" s="34"/>
      <c r="J1137" s="93"/>
      <c r="K1137" s="34"/>
      <c r="L1137" s="34"/>
      <c r="M1137" s="34"/>
      <c r="N1137" s="34"/>
      <c r="O1137" s="34"/>
      <c r="P1137" s="34"/>
      <c r="Q1137" s="34"/>
      <c r="R1137" s="34"/>
      <c r="S1137" s="34"/>
      <c r="T1137" s="34"/>
      <c r="U1137" s="34"/>
      <c r="V1137" s="34"/>
      <c r="W1137" s="34"/>
      <c r="X1137" s="34"/>
      <c r="Y1137" s="34"/>
      <c r="Z1137" s="34"/>
    </row>
    <row r="1138">
      <c r="A1138" s="34"/>
      <c r="B1138" s="34"/>
      <c r="C1138" s="34"/>
      <c r="D1138" s="34"/>
      <c r="E1138" s="34"/>
      <c r="F1138" s="34"/>
      <c r="G1138" s="34"/>
      <c r="H1138" s="34"/>
      <c r="I1138" s="34"/>
      <c r="J1138" s="93"/>
      <c r="K1138" s="34"/>
      <c r="L1138" s="34"/>
      <c r="M1138" s="34"/>
      <c r="N1138" s="34"/>
      <c r="O1138" s="34"/>
      <c r="P1138" s="34"/>
      <c r="Q1138" s="34"/>
      <c r="R1138" s="34"/>
      <c r="S1138" s="34"/>
      <c r="T1138" s="34"/>
      <c r="U1138" s="34"/>
      <c r="V1138" s="34"/>
      <c r="W1138" s="34"/>
      <c r="X1138" s="34"/>
      <c r="Y1138" s="34"/>
      <c r="Z1138" s="34"/>
    </row>
    <row r="1139">
      <c r="A1139" s="34"/>
      <c r="B1139" s="34"/>
      <c r="C1139" s="34"/>
      <c r="D1139" s="34"/>
      <c r="E1139" s="34"/>
      <c r="F1139" s="34"/>
      <c r="G1139" s="34"/>
      <c r="H1139" s="34"/>
      <c r="I1139" s="34"/>
      <c r="J1139" s="93"/>
      <c r="K1139" s="34"/>
      <c r="L1139" s="34"/>
      <c r="M1139" s="34"/>
      <c r="N1139" s="34"/>
      <c r="O1139" s="34"/>
      <c r="P1139" s="34"/>
      <c r="Q1139" s="34"/>
      <c r="R1139" s="34"/>
      <c r="S1139" s="34"/>
      <c r="T1139" s="34"/>
      <c r="U1139" s="34"/>
      <c r="V1139" s="34"/>
      <c r="W1139" s="34"/>
      <c r="X1139" s="34"/>
      <c r="Y1139" s="34"/>
      <c r="Z1139" s="34"/>
    </row>
    <row r="1140">
      <c r="A1140" s="34"/>
      <c r="B1140" s="34"/>
      <c r="C1140" s="34"/>
      <c r="D1140" s="34"/>
      <c r="E1140" s="34"/>
      <c r="F1140" s="34"/>
      <c r="G1140" s="34"/>
      <c r="H1140" s="34"/>
      <c r="I1140" s="34"/>
      <c r="J1140" s="93"/>
      <c r="K1140" s="34"/>
      <c r="L1140" s="34"/>
      <c r="M1140" s="34"/>
      <c r="N1140" s="34"/>
      <c r="O1140" s="34"/>
      <c r="P1140" s="34"/>
      <c r="Q1140" s="34"/>
      <c r="R1140" s="34"/>
      <c r="S1140" s="34"/>
      <c r="T1140" s="34"/>
      <c r="U1140" s="34"/>
      <c r="V1140" s="34"/>
      <c r="W1140" s="34"/>
      <c r="X1140" s="34"/>
      <c r="Y1140" s="34"/>
      <c r="Z1140" s="34"/>
    </row>
    <row r="1141">
      <c r="A1141" s="34"/>
      <c r="B1141" s="34"/>
      <c r="C1141" s="34"/>
      <c r="D1141" s="34"/>
      <c r="E1141" s="34"/>
      <c r="F1141" s="34"/>
      <c r="G1141" s="34"/>
      <c r="H1141" s="34"/>
      <c r="I1141" s="34"/>
      <c r="J1141" s="93"/>
      <c r="K1141" s="34"/>
      <c r="L1141" s="34"/>
      <c r="M1141" s="34"/>
      <c r="N1141" s="34"/>
      <c r="O1141" s="34"/>
      <c r="P1141" s="34"/>
      <c r="Q1141" s="34"/>
      <c r="R1141" s="34"/>
      <c r="S1141" s="34"/>
      <c r="T1141" s="34"/>
      <c r="U1141" s="34"/>
      <c r="V1141" s="34"/>
      <c r="W1141" s="34"/>
      <c r="X1141" s="34"/>
      <c r="Y1141" s="34"/>
      <c r="Z1141" s="34"/>
    </row>
    <row r="1142">
      <c r="A1142" s="34"/>
      <c r="B1142" s="34"/>
      <c r="C1142" s="34"/>
      <c r="D1142" s="34"/>
      <c r="E1142" s="34"/>
      <c r="F1142" s="34"/>
      <c r="G1142" s="34"/>
      <c r="H1142" s="34"/>
      <c r="I1142" s="34"/>
      <c r="J1142" s="93"/>
      <c r="K1142" s="34"/>
      <c r="L1142" s="34"/>
      <c r="M1142" s="34"/>
      <c r="N1142" s="34"/>
      <c r="O1142" s="34"/>
      <c r="P1142" s="34"/>
      <c r="Q1142" s="34"/>
      <c r="R1142" s="34"/>
      <c r="S1142" s="34"/>
      <c r="T1142" s="34"/>
      <c r="U1142" s="34"/>
      <c r="V1142" s="34"/>
      <c r="W1142" s="34"/>
      <c r="X1142" s="34"/>
      <c r="Y1142" s="34"/>
      <c r="Z1142" s="34"/>
    </row>
    <row r="1143">
      <c r="A1143" s="34"/>
      <c r="B1143" s="34"/>
      <c r="C1143" s="34"/>
      <c r="D1143" s="34"/>
      <c r="E1143" s="34"/>
      <c r="F1143" s="34"/>
      <c r="G1143" s="34"/>
      <c r="H1143" s="34"/>
      <c r="I1143" s="34"/>
      <c r="J1143" s="93"/>
      <c r="K1143" s="34"/>
      <c r="L1143" s="34"/>
      <c r="M1143" s="34"/>
      <c r="N1143" s="34"/>
      <c r="O1143" s="34"/>
      <c r="P1143" s="34"/>
      <c r="Q1143" s="34"/>
      <c r="R1143" s="34"/>
      <c r="S1143" s="34"/>
      <c r="T1143" s="34"/>
      <c r="U1143" s="34"/>
      <c r="V1143" s="34"/>
      <c r="W1143" s="34"/>
      <c r="X1143" s="34"/>
      <c r="Y1143" s="34"/>
      <c r="Z1143" s="34"/>
    </row>
    <row r="1144">
      <c r="A1144" s="34"/>
      <c r="B1144" s="34"/>
      <c r="C1144" s="34"/>
      <c r="D1144" s="34"/>
      <c r="E1144" s="34"/>
      <c r="F1144" s="34"/>
      <c r="G1144" s="34"/>
      <c r="H1144" s="34"/>
      <c r="I1144" s="34"/>
      <c r="J1144" s="93"/>
      <c r="K1144" s="34"/>
      <c r="L1144" s="34"/>
      <c r="M1144" s="34"/>
      <c r="N1144" s="34"/>
      <c r="O1144" s="34"/>
      <c r="P1144" s="34"/>
      <c r="Q1144" s="34"/>
      <c r="R1144" s="34"/>
      <c r="S1144" s="34"/>
      <c r="T1144" s="34"/>
      <c r="U1144" s="34"/>
      <c r="V1144" s="34"/>
      <c r="W1144" s="34"/>
      <c r="X1144" s="34"/>
      <c r="Y1144" s="34"/>
      <c r="Z1144" s="34"/>
    </row>
    <row r="1145">
      <c r="A1145" s="34"/>
      <c r="B1145" s="34"/>
      <c r="C1145" s="34"/>
      <c r="D1145" s="34"/>
      <c r="E1145" s="34"/>
      <c r="F1145" s="34"/>
      <c r="G1145" s="34"/>
      <c r="H1145" s="34"/>
      <c r="I1145" s="34"/>
      <c r="J1145" s="93"/>
      <c r="K1145" s="34"/>
      <c r="L1145" s="34"/>
      <c r="M1145" s="34"/>
      <c r="N1145" s="34"/>
      <c r="O1145" s="34"/>
      <c r="P1145" s="34"/>
      <c r="Q1145" s="34"/>
      <c r="R1145" s="34"/>
      <c r="S1145" s="34"/>
      <c r="T1145" s="34"/>
      <c r="U1145" s="34"/>
      <c r="V1145" s="34"/>
      <c r="W1145" s="34"/>
      <c r="X1145" s="34"/>
      <c r="Y1145" s="34"/>
      <c r="Z1145" s="34"/>
    </row>
    <row r="1146">
      <c r="A1146" s="34"/>
      <c r="B1146" s="34"/>
      <c r="C1146" s="34"/>
      <c r="D1146" s="34"/>
      <c r="E1146" s="34"/>
      <c r="F1146" s="34"/>
      <c r="G1146" s="34"/>
      <c r="J1146" s="94"/>
      <c r="L1146" s="34"/>
      <c r="M1146" s="34"/>
      <c r="N1146" s="34"/>
      <c r="O1146" s="34"/>
      <c r="P1146" s="34"/>
      <c r="Q1146" s="34"/>
      <c r="R1146" s="34"/>
      <c r="S1146" s="34"/>
      <c r="T1146" s="34"/>
      <c r="U1146" s="34"/>
      <c r="V1146" s="34"/>
      <c r="W1146" s="34"/>
      <c r="X1146" s="34"/>
      <c r="Y1146" s="34"/>
      <c r="Z1146" s="34"/>
    </row>
  </sheetData>
  <mergeCells count="401">
    <mergeCell ref="B139:B142"/>
    <mergeCell ref="B143:B147"/>
    <mergeCell ref="C143:C147"/>
    <mergeCell ref="D143:D147"/>
    <mergeCell ref="E143:E147"/>
    <mergeCell ref="F143:F147"/>
    <mergeCell ref="G143:G147"/>
    <mergeCell ref="H155:H156"/>
    <mergeCell ref="I155:I156"/>
    <mergeCell ref="H159:H161"/>
    <mergeCell ref="I159:I161"/>
    <mergeCell ref="C148:C154"/>
    <mergeCell ref="D148:D154"/>
    <mergeCell ref="E148:E154"/>
    <mergeCell ref="F148:F154"/>
    <mergeCell ref="G148:G154"/>
    <mergeCell ref="H148:H151"/>
    <mergeCell ref="I148:I151"/>
    <mergeCell ref="E114:E117"/>
    <mergeCell ref="F114:F117"/>
    <mergeCell ref="B109:B113"/>
    <mergeCell ref="C109:C113"/>
    <mergeCell ref="D109:D113"/>
    <mergeCell ref="E109:E113"/>
    <mergeCell ref="F109:F113"/>
    <mergeCell ref="G109:G113"/>
    <mergeCell ref="G114:G117"/>
    <mergeCell ref="B114:B117"/>
    <mergeCell ref="B118:B123"/>
    <mergeCell ref="C118:C123"/>
    <mergeCell ref="D118:D123"/>
    <mergeCell ref="E118:E123"/>
    <mergeCell ref="F118:F123"/>
    <mergeCell ref="G118:G123"/>
    <mergeCell ref="E128:E131"/>
    <mergeCell ref="F128:F131"/>
    <mergeCell ref="B125:B127"/>
    <mergeCell ref="C125:C127"/>
    <mergeCell ref="D125:D127"/>
    <mergeCell ref="E125:E127"/>
    <mergeCell ref="F125:F127"/>
    <mergeCell ref="G125:G127"/>
    <mergeCell ref="B128:B131"/>
    <mergeCell ref="G128:G131"/>
    <mergeCell ref="C128:C131"/>
    <mergeCell ref="D128:D131"/>
    <mergeCell ref="B132:B138"/>
    <mergeCell ref="C132:C138"/>
    <mergeCell ref="D132:D138"/>
    <mergeCell ref="E132:E138"/>
    <mergeCell ref="F132:F138"/>
    <mergeCell ref="B148:B154"/>
    <mergeCell ref="B155:B158"/>
    <mergeCell ref="C155:C158"/>
    <mergeCell ref="D155:D158"/>
    <mergeCell ref="E155:E158"/>
    <mergeCell ref="F155:F158"/>
    <mergeCell ref="G155:G158"/>
    <mergeCell ref="E166:E172"/>
    <mergeCell ref="F166:F172"/>
    <mergeCell ref="E173:E178"/>
    <mergeCell ref="F173:F178"/>
    <mergeCell ref="G173:G178"/>
    <mergeCell ref="G166:G172"/>
    <mergeCell ref="H166:H168"/>
    <mergeCell ref="I166:I168"/>
    <mergeCell ref="H173:H174"/>
    <mergeCell ref="I173:I174"/>
    <mergeCell ref="B159:B165"/>
    <mergeCell ref="C159:C165"/>
    <mergeCell ref="D159:D165"/>
    <mergeCell ref="E159:E165"/>
    <mergeCell ref="F159:F165"/>
    <mergeCell ref="G159:G165"/>
    <mergeCell ref="B166:B172"/>
    <mergeCell ref="D179:D186"/>
    <mergeCell ref="E179:E186"/>
    <mergeCell ref="F179:F186"/>
    <mergeCell ref="G179:G186"/>
    <mergeCell ref="H179:H181"/>
    <mergeCell ref="I179:I181"/>
    <mergeCell ref="H182:H183"/>
    <mergeCell ref="I182:I183"/>
    <mergeCell ref="B187:B192"/>
    <mergeCell ref="C187:C192"/>
    <mergeCell ref="D187:D192"/>
    <mergeCell ref="E187:E192"/>
    <mergeCell ref="F187:F192"/>
    <mergeCell ref="G187:G192"/>
    <mergeCell ref="C166:C172"/>
    <mergeCell ref="D166:D172"/>
    <mergeCell ref="B173:B178"/>
    <mergeCell ref="C173:C178"/>
    <mergeCell ref="D173:D178"/>
    <mergeCell ref="B179:B186"/>
    <mergeCell ref="C179:C186"/>
    <mergeCell ref="C200:C205"/>
    <mergeCell ref="D200:D205"/>
    <mergeCell ref="B221:B228"/>
    <mergeCell ref="C221:C228"/>
    <mergeCell ref="D221:D228"/>
    <mergeCell ref="E221:E228"/>
    <mergeCell ref="F221:F228"/>
    <mergeCell ref="G221:G228"/>
    <mergeCell ref="B229:B235"/>
    <mergeCell ref="G229:G235"/>
    <mergeCell ref="C229:C235"/>
    <mergeCell ref="D229:D235"/>
    <mergeCell ref="C236:C239"/>
    <mergeCell ref="D236:D239"/>
    <mergeCell ref="E236:E239"/>
    <mergeCell ref="F236:F239"/>
    <mergeCell ref="G236:G239"/>
    <mergeCell ref="B236:B239"/>
    <mergeCell ref="B240:B242"/>
    <mergeCell ref="C240:C242"/>
    <mergeCell ref="D240:D242"/>
    <mergeCell ref="E240:E242"/>
    <mergeCell ref="F240:F242"/>
    <mergeCell ref="G240:G242"/>
    <mergeCell ref="C243:C247"/>
    <mergeCell ref="D243:D247"/>
    <mergeCell ref="E243:E247"/>
    <mergeCell ref="F243:F247"/>
    <mergeCell ref="G243:G247"/>
    <mergeCell ref="H244:H245"/>
    <mergeCell ref="I244:I245"/>
    <mergeCell ref="E200:E205"/>
    <mergeCell ref="F200:F205"/>
    <mergeCell ref="E206:E209"/>
    <mergeCell ref="F206:F209"/>
    <mergeCell ref="G206:G209"/>
    <mergeCell ref="B193:B199"/>
    <mergeCell ref="C193:C199"/>
    <mergeCell ref="D193:D199"/>
    <mergeCell ref="E193:E199"/>
    <mergeCell ref="F193:F199"/>
    <mergeCell ref="G193:G199"/>
    <mergeCell ref="G200:G205"/>
    <mergeCell ref="E210:E215"/>
    <mergeCell ref="F210:F215"/>
    <mergeCell ref="G210:G215"/>
    <mergeCell ref="B216:B220"/>
    <mergeCell ref="C216:C220"/>
    <mergeCell ref="D216:D220"/>
    <mergeCell ref="E216:E220"/>
    <mergeCell ref="F216:F220"/>
    <mergeCell ref="G216:G220"/>
    <mergeCell ref="B200:B205"/>
    <mergeCell ref="B206:B209"/>
    <mergeCell ref="C206:C209"/>
    <mergeCell ref="D206:D209"/>
    <mergeCell ref="B210:B215"/>
    <mergeCell ref="C210:C215"/>
    <mergeCell ref="D210:D215"/>
    <mergeCell ref="E229:E235"/>
    <mergeCell ref="F229:F235"/>
    <mergeCell ref="H229:H230"/>
    <mergeCell ref="I229:I230"/>
    <mergeCell ref="B243:B247"/>
    <mergeCell ref="B248:B253"/>
    <mergeCell ref="C248:C253"/>
    <mergeCell ref="D248:D253"/>
    <mergeCell ref="E248:E253"/>
    <mergeCell ref="F248:F253"/>
    <mergeCell ref="G248:G253"/>
    <mergeCell ref="E296:E300"/>
    <mergeCell ref="F296:F300"/>
    <mergeCell ref="E301:E303"/>
    <mergeCell ref="F301:F303"/>
    <mergeCell ref="G301:G303"/>
    <mergeCell ref="B296:B300"/>
    <mergeCell ref="B301:B303"/>
    <mergeCell ref="C301:C303"/>
    <mergeCell ref="D301:D303"/>
    <mergeCell ref="B288:B295"/>
    <mergeCell ref="C288:C295"/>
    <mergeCell ref="D288:D295"/>
    <mergeCell ref="E288:E295"/>
    <mergeCell ref="F288:F295"/>
    <mergeCell ref="G288:G295"/>
    <mergeCell ref="G296:G300"/>
    <mergeCell ref="E261:E267"/>
    <mergeCell ref="F261:F267"/>
    <mergeCell ref="E268:E271"/>
    <mergeCell ref="F268:F271"/>
    <mergeCell ref="G268:G271"/>
    <mergeCell ref="B254:B260"/>
    <mergeCell ref="C254:C260"/>
    <mergeCell ref="D254:D260"/>
    <mergeCell ref="E254:E260"/>
    <mergeCell ref="F254:F260"/>
    <mergeCell ref="G254:G260"/>
    <mergeCell ref="B261:B267"/>
    <mergeCell ref="G261:G267"/>
    <mergeCell ref="D272:D279"/>
    <mergeCell ref="E272:E279"/>
    <mergeCell ref="F272:F279"/>
    <mergeCell ref="G272:G279"/>
    <mergeCell ref="H274:H275"/>
    <mergeCell ref="I274:I275"/>
    <mergeCell ref="B280:B283"/>
    <mergeCell ref="C280:C283"/>
    <mergeCell ref="D280:D283"/>
    <mergeCell ref="E280:E283"/>
    <mergeCell ref="F280:F283"/>
    <mergeCell ref="G280:G283"/>
    <mergeCell ref="B284:B287"/>
    <mergeCell ref="C284:C287"/>
    <mergeCell ref="D284:D287"/>
    <mergeCell ref="E284:E287"/>
    <mergeCell ref="F284:F287"/>
    <mergeCell ref="G284:G287"/>
    <mergeCell ref="C261:C267"/>
    <mergeCell ref="D261:D267"/>
    <mergeCell ref="B268:B271"/>
    <mergeCell ref="C268:C271"/>
    <mergeCell ref="D268:D271"/>
    <mergeCell ref="B272:B279"/>
    <mergeCell ref="C272:C279"/>
    <mergeCell ref="C296:C300"/>
    <mergeCell ref="D296:D300"/>
    <mergeCell ref="H298:H299"/>
    <mergeCell ref="I298:I299"/>
    <mergeCell ref="B2:B3"/>
    <mergeCell ref="C2:C3"/>
    <mergeCell ref="D2:D3"/>
    <mergeCell ref="E2:E3"/>
    <mergeCell ref="F2:F3"/>
    <mergeCell ref="G2:G3"/>
    <mergeCell ref="H2:K2"/>
    <mergeCell ref="C4:C8"/>
    <mergeCell ref="D4:D8"/>
    <mergeCell ref="E4:E8"/>
    <mergeCell ref="F4:F8"/>
    <mergeCell ref="G4:G8"/>
    <mergeCell ref="H4:H5"/>
    <mergeCell ref="I4:I5"/>
    <mergeCell ref="H9:H11"/>
    <mergeCell ref="I9:I11"/>
    <mergeCell ref="B4:B8"/>
    <mergeCell ref="B9:B14"/>
    <mergeCell ref="C9:C14"/>
    <mergeCell ref="D9:D14"/>
    <mergeCell ref="E9:E14"/>
    <mergeCell ref="F9:F14"/>
    <mergeCell ref="G9:G14"/>
    <mergeCell ref="G17:G22"/>
    <mergeCell ref="H17:H18"/>
    <mergeCell ref="I17:I18"/>
    <mergeCell ref="H23:H24"/>
    <mergeCell ref="I23:I24"/>
    <mergeCell ref="B15:B16"/>
    <mergeCell ref="C15:C16"/>
    <mergeCell ref="D15:D16"/>
    <mergeCell ref="E15:E16"/>
    <mergeCell ref="F15:F16"/>
    <mergeCell ref="G15:G16"/>
    <mergeCell ref="B17:B22"/>
    <mergeCell ref="G28:G32"/>
    <mergeCell ref="H28:H30"/>
    <mergeCell ref="I28:I30"/>
    <mergeCell ref="B37:B40"/>
    <mergeCell ref="C37:C40"/>
    <mergeCell ref="D37:D40"/>
    <mergeCell ref="E37:E40"/>
    <mergeCell ref="F37:F40"/>
    <mergeCell ref="G37:G40"/>
    <mergeCell ref="B41:B44"/>
    <mergeCell ref="G41:G44"/>
    <mergeCell ref="C41:C44"/>
    <mergeCell ref="D41:D44"/>
    <mergeCell ref="B45:B49"/>
    <mergeCell ref="C45:C49"/>
    <mergeCell ref="D45:D49"/>
    <mergeCell ref="E45:E49"/>
    <mergeCell ref="F45:F49"/>
    <mergeCell ref="E17:E22"/>
    <mergeCell ref="F17:F22"/>
    <mergeCell ref="E23:E27"/>
    <mergeCell ref="F23:F27"/>
    <mergeCell ref="G23:G27"/>
    <mergeCell ref="E28:E32"/>
    <mergeCell ref="F28:F32"/>
    <mergeCell ref="H34:H35"/>
    <mergeCell ref="I34:I35"/>
    <mergeCell ref="B28:B32"/>
    <mergeCell ref="B33:B35"/>
    <mergeCell ref="C33:C35"/>
    <mergeCell ref="D33:D35"/>
    <mergeCell ref="E33:E35"/>
    <mergeCell ref="F33:F35"/>
    <mergeCell ref="G33:G35"/>
    <mergeCell ref="C17:C22"/>
    <mergeCell ref="D17:D22"/>
    <mergeCell ref="B23:B27"/>
    <mergeCell ref="C23:C27"/>
    <mergeCell ref="D23:D27"/>
    <mergeCell ref="C28:C32"/>
    <mergeCell ref="D28:D32"/>
    <mergeCell ref="E41:E44"/>
    <mergeCell ref="F41:F44"/>
    <mergeCell ref="G45:G49"/>
    <mergeCell ref="H47:H48"/>
    <mergeCell ref="I47:I48"/>
    <mergeCell ref="C55:C58"/>
    <mergeCell ref="D55:D58"/>
    <mergeCell ref="E55:E58"/>
    <mergeCell ref="F55:F58"/>
    <mergeCell ref="B50:B54"/>
    <mergeCell ref="C50:C54"/>
    <mergeCell ref="D50:D54"/>
    <mergeCell ref="E50:E54"/>
    <mergeCell ref="F50:F54"/>
    <mergeCell ref="G50:G54"/>
    <mergeCell ref="G55:G58"/>
    <mergeCell ref="B55:B58"/>
    <mergeCell ref="B59:B63"/>
    <mergeCell ref="C59:C63"/>
    <mergeCell ref="D59:D63"/>
    <mergeCell ref="E59:E63"/>
    <mergeCell ref="F59:F63"/>
    <mergeCell ref="G59:G63"/>
    <mergeCell ref="E66:E69"/>
    <mergeCell ref="F66:F69"/>
    <mergeCell ref="B64:B65"/>
    <mergeCell ref="C64:C65"/>
    <mergeCell ref="D64:D65"/>
    <mergeCell ref="E64:E65"/>
    <mergeCell ref="F64:F65"/>
    <mergeCell ref="G64:G65"/>
    <mergeCell ref="B66:B69"/>
    <mergeCell ref="G66:G69"/>
    <mergeCell ref="G70:G74"/>
    <mergeCell ref="H72:H73"/>
    <mergeCell ref="I72:I73"/>
    <mergeCell ref="C66:C69"/>
    <mergeCell ref="D66:D69"/>
    <mergeCell ref="B70:B74"/>
    <mergeCell ref="C70:C74"/>
    <mergeCell ref="D70:D74"/>
    <mergeCell ref="E70:E74"/>
    <mergeCell ref="F70:F74"/>
    <mergeCell ref="C95:C98"/>
    <mergeCell ref="D95:D98"/>
    <mergeCell ref="C99:C103"/>
    <mergeCell ref="D99:D103"/>
    <mergeCell ref="E99:E103"/>
    <mergeCell ref="F99:F103"/>
    <mergeCell ref="G99:G103"/>
    <mergeCell ref="B99:B103"/>
    <mergeCell ref="B104:B108"/>
    <mergeCell ref="C104:C108"/>
    <mergeCell ref="D104:D108"/>
    <mergeCell ref="E104:E108"/>
    <mergeCell ref="F104:F108"/>
    <mergeCell ref="G104:G108"/>
    <mergeCell ref="E81:E84"/>
    <mergeCell ref="F81:F84"/>
    <mergeCell ref="B75:B80"/>
    <mergeCell ref="C75:C80"/>
    <mergeCell ref="D75:D80"/>
    <mergeCell ref="E75:E80"/>
    <mergeCell ref="F75:F80"/>
    <mergeCell ref="G75:G80"/>
    <mergeCell ref="B81:B84"/>
    <mergeCell ref="G81:G84"/>
    <mergeCell ref="G85:G90"/>
    <mergeCell ref="H85:H87"/>
    <mergeCell ref="I85:I87"/>
    <mergeCell ref="C81:C84"/>
    <mergeCell ref="D81:D84"/>
    <mergeCell ref="B85:B90"/>
    <mergeCell ref="C85:C90"/>
    <mergeCell ref="D85:D90"/>
    <mergeCell ref="E85:E90"/>
    <mergeCell ref="F85:F90"/>
    <mergeCell ref="E95:E98"/>
    <mergeCell ref="F95:F98"/>
    <mergeCell ref="B91:B94"/>
    <mergeCell ref="C91:C94"/>
    <mergeCell ref="D91:D94"/>
    <mergeCell ref="E91:E94"/>
    <mergeCell ref="F91:F94"/>
    <mergeCell ref="G91:G94"/>
    <mergeCell ref="B95:B98"/>
    <mergeCell ref="G95:G98"/>
    <mergeCell ref="C114:C117"/>
    <mergeCell ref="D114:D117"/>
    <mergeCell ref="G132:G138"/>
    <mergeCell ref="H132:H134"/>
    <mergeCell ref="I132:I134"/>
    <mergeCell ref="H143:H144"/>
    <mergeCell ref="I143:I144"/>
    <mergeCell ref="C139:C142"/>
    <mergeCell ref="D139:D142"/>
    <mergeCell ref="E139:E142"/>
    <mergeCell ref="F139:F142"/>
    <mergeCell ref="G139:G142"/>
    <mergeCell ref="H139:H140"/>
    <mergeCell ref="I139:I140"/>
  </mergeCells>
  <hyperlinks>
    <hyperlink r:id="rId1" ref="J4"/>
    <hyperlink r:id="rId2" ref="J5"/>
    <hyperlink r:id="rId3" ref="J6"/>
    <hyperlink r:id="rId4" ref="J7"/>
    <hyperlink r:id="rId5" ref="J8"/>
    <hyperlink r:id="rId6" ref="J9"/>
    <hyperlink r:id="rId7" ref="J10"/>
    <hyperlink r:id="rId8" ref="J11"/>
    <hyperlink r:id="rId9" ref="J12"/>
    <hyperlink r:id="rId10" ref="J13"/>
    <hyperlink r:id="rId11" ref="J14"/>
    <hyperlink r:id="rId12" ref="J15"/>
    <hyperlink r:id="rId13" ref="J16"/>
    <hyperlink r:id="rId14" ref="J17"/>
    <hyperlink r:id="rId15" ref="J18"/>
    <hyperlink r:id="rId16" ref="J19"/>
    <hyperlink r:id="rId17" ref="J20"/>
    <hyperlink r:id="rId18" ref="J21"/>
    <hyperlink r:id="rId19" ref="J22"/>
    <hyperlink r:id="rId20" ref="J23"/>
    <hyperlink r:id="rId21" ref="J24"/>
    <hyperlink r:id="rId22" ref="J25"/>
    <hyperlink r:id="rId23" ref="J26"/>
    <hyperlink r:id="rId24" ref="J27"/>
    <hyperlink r:id="rId25" ref="J28"/>
    <hyperlink r:id="rId26" ref="J29"/>
    <hyperlink r:id="rId27" ref="J30"/>
    <hyperlink r:id="rId28" ref="J31"/>
    <hyperlink r:id="rId29" ref="J32"/>
    <hyperlink r:id="rId30" ref="J33"/>
    <hyperlink r:id="rId31" ref="J34"/>
    <hyperlink r:id="rId32" ref="J35"/>
    <hyperlink r:id="rId33" ref="J37"/>
    <hyperlink r:id="rId34" ref="J38"/>
    <hyperlink r:id="rId35" ref="J39"/>
    <hyperlink r:id="rId36" ref="J40"/>
    <hyperlink r:id="rId37" ref="J41"/>
    <hyperlink r:id="rId38" ref="J42"/>
    <hyperlink r:id="rId39" ref="J43"/>
    <hyperlink r:id="rId40" ref="J44"/>
    <hyperlink r:id="rId41" ref="J45"/>
    <hyperlink r:id="rId42" ref="J46"/>
    <hyperlink r:id="rId43" ref="J47"/>
    <hyperlink r:id="rId44" ref="J48"/>
    <hyperlink r:id="rId45" ref="J49"/>
    <hyperlink r:id="rId46" ref="J50"/>
    <hyperlink r:id="rId47" ref="J51"/>
    <hyperlink r:id="rId48" ref="J52"/>
    <hyperlink r:id="rId49" ref="J53"/>
    <hyperlink r:id="rId50" ref="J54"/>
    <hyperlink r:id="rId51" ref="J55"/>
    <hyperlink r:id="rId52" ref="J56"/>
    <hyperlink r:id="rId53" ref="J57"/>
    <hyperlink r:id="rId54" ref="J58"/>
    <hyperlink r:id="rId55" ref="J59"/>
    <hyperlink r:id="rId56" ref="J60"/>
    <hyperlink r:id="rId57" ref="J61"/>
    <hyperlink r:id="rId58" ref="J62"/>
    <hyperlink r:id="rId59" ref="J63"/>
    <hyperlink r:id="rId60" ref="J64"/>
    <hyperlink r:id="rId61" ref="J65"/>
    <hyperlink r:id="rId62" ref="J66"/>
    <hyperlink r:id="rId63" ref="J67"/>
    <hyperlink r:id="rId64" ref="J68"/>
    <hyperlink r:id="rId65" ref="J69"/>
    <hyperlink r:id="rId66" ref="J70"/>
    <hyperlink r:id="rId67" ref="J71"/>
    <hyperlink r:id="rId68" ref="J72"/>
    <hyperlink r:id="rId69" ref="J73"/>
    <hyperlink r:id="rId70" ref="J74"/>
    <hyperlink r:id="rId71" ref="J75"/>
    <hyperlink r:id="rId72" ref="J76"/>
    <hyperlink r:id="rId73" ref="J77"/>
    <hyperlink r:id="rId74" ref="J78"/>
    <hyperlink r:id="rId75" ref="J79"/>
    <hyperlink r:id="rId76" ref="J80"/>
    <hyperlink r:id="rId77" ref="J81"/>
    <hyperlink r:id="rId78" ref="J82"/>
    <hyperlink r:id="rId79" ref="J83"/>
    <hyperlink r:id="rId80" ref="J84"/>
    <hyperlink r:id="rId81" ref="J85"/>
    <hyperlink r:id="rId82" ref="J86"/>
    <hyperlink r:id="rId83" ref="J87"/>
    <hyperlink r:id="rId84" ref="J88"/>
    <hyperlink r:id="rId85" ref="J89"/>
    <hyperlink r:id="rId86" ref="J90"/>
    <hyperlink r:id="rId87" ref="J91"/>
    <hyperlink r:id="rId88" ref="J92"/>
    <hyperlink r:id="rId89" ref="J93"/>
    <hyperlink r:id="rId90" ref="J94"/>
    <hyperlink r:id="rId91" ref="J95"/>
    <hyperlink r:id="rId92" ref="J96"/>
    <hyperlink r:id="rId93" ref="J97"/>
    <hyperlink r:id="rId94" ref="J98"/>
    <hyperlink r:id="rId95" ref="J99"/>
    <hyperlink r:id="rId96" ref="J100"/>
    <hyperlink r:id="rId97" ref="J101"/>
    <hyperlink r:id="rId98" ref="J102"/>
    <hyperlink r:id="rId99" ref="J103"/>
    <hyperlink r:id="rId100" ref="J104"/>
    <hyperlink r:id="rId101" ref="J105"/>
    <hyperlink r:id="rId102" ref="J106"/>
    <hyperlink r:id="rId103" ref="J107"/>
    <hyperlink r:id="rId104" ref="J108"/>
    <hyperlink r:id="rId105" ref="J109"/>
    <hyperlink r:id="rId106" ref="J110"/>
    <hyperlink r:id="rId107" ref="J111"/>
    <hyperlink r:id="rId108" ref="J112"/>
    <hyperlink r:id="rId109" ref="J113"/>
    <hyperlink r:id="rId110" ref="J114"/>
    <hyperlink r:id="rId111" ref="J115"/>
    <hyperlink r:id="rId112" ref="J116"/>
    <hyperlink r:id="rId113" ref="J117"/>
    <hyperlink r:id="rId114" ref="J118"/>
    <hyperlink r:id="rId115" ref="J119"/>
    <hyperlink r:id="rId116" ref="J120"/>
    <hyperlink r:id="rId117" ref="J121"/>
    <hyperlink r:id="rId118" ref="J122"/>
    <hyperlink r:id="rId119" ref="J123"/>
    <hyperlink r:id="rId120" ref="J125"/>
    <hyperlink r:id="rId121" ref="J126"/>
    <hyperlink r:id="rId122" ref="J127"/>
    <hyperlink r:id="rId123" ref="J128"/>
    <hyperlink r:id="rId124" ref="J129"/>
    <hyperlink r:id="rId125" ref="J130"/>
    <hyperlink r:id="rId126" ref="J131"/>
    <hyperlink r:id="rId127" ref="J132"/>
    <hyperlink r:id="rId128" ref="J133"/>
    <hyperlink r:id="rId129" ref="J134"/>
    <hyperlink r:id="rId130" ref="J135"/>
    <hyperlink r:id="rId131" ref="J136"/>
    <hyperlink r:id="rId132" ref="J137"/>
    <hyperlink r:id="rId133" ref="J138"/>
    <hyperlink r:id="rId134" ref="J139"/>
    <hyperlink r:id="rId135" ref="J140"/>
    <hyperlink r:id="rId136" ref="J141"/>
    <hyperlink r:id="rId137" ref="J142"/>
    <hyperlink r:id="rId138" ref="J143"/>
    <hyperlink r:id="rId139" ref="J144"/>
    <hyperlink r:id="rId140" ref="J145"/>
    <hyperlink r:id="rId141" ref="J146"/>
    <hyperlink r:id="rId142" ref="J147"/>
    <hyperlink r:id="rId143" ref="J148"/>
    <hyperlink r:id="rId144" ref="J149"/>
    <hyperlink r:id="rId145" ref="J150"/>
    <hyperlink r:id="rId146" ref="J151"/>
    <hyperlink r:id="rId147" ref="J152"/>
    <hyperlink r:id="rId148" ref="J153"/>
    <hyperlink r:id="rId149" ref="J154"/>
    <hyperlink r:id="rId150" ref="J155"/>
    <hyperlink r:id="rId151" ref="J156"/>
    <hyperlink r:id="rId152" ref="J157"/>
    <hyperlink r:id="rId153" ref="J158"/>
    <hyperlink r:id="rId154" ref="J159"/>
    <hyperlink r:id="rId155" ref="J160"/>
    <hyperlink r:id="rId156" ref="J161"/>
    <hyperlink r:id="rId157" ref="J162"/>
    <hyperlink r:id="rId158" ref="J163"/>
    <hyperlink r:id="rId159" ref="J164"/>
    <hyperlink r:id="rId160" ref="J165"/>
    <hyperlink r:id="rId161" ref="J166"/>
    <hyperlink r:id="rId162" ref="J167"/>
    <hyperlink r:id="rId163" ref="J168"/>
    <hyperlink r:id="rId164" ref="J169"/>
    <hyperlink r:id="rId165" ref="J170"/>
    <hyperlink r:id="rId166" ref="J171"/>
    <hyperlink r:id="rId167" ref="J172"/>
    <hyperlink r:id="rId168" ref="J173"/>
    <hyperlink r:id="rId169" ref="J174"/>
    <hyperlink r:id="rId170" ref="J175"/>
    <hyperlink r:id="rId171" ref="J176"/>
    <hyperlink r:id="rId172" ref="J177"/>
    <hyperlink r:id="rId173" ref="J178"/>
    <hyperlink r:id="rId174" ref="J179"/>
    <hyperlink r:id="rId175" ref="J180"/>
    <hyperlink r:id="rId176" ref="J181"/>
    <hyperlink r:id="rId177" ref="J182"/>
    <hyperlink r:id="rId178" ref="J183"/>
    <hyperlink r:id="rId179" ref="J184"/>
    <hyperlink r:id="rId180" ref="J185"/>
    <hyperlink r:id="rId181" ref="J186"/>
    <hyperlink r:id="rId182" ref="J187"/>
    <hyperlink r:id="rId183" ref="J188"/>
    <hyperlink r:id="rId184" ref="J189"/>
    <hyperlink r:id="rId185" ref="J190"/>
    <hyperlink r:id="rId186" ref="J191"/>
    <hyperlink r:id="rId187" ref="J192"/>
    <hyperlink r:id="rId188" ref="J193"/>
    <hyperlink r:id="rId189" ref="J194"/>
    <hyperlink r:id="rId190" ref="J195"/>
    <hyperlink r:id="rId191" ref="J196"/>
    <hyperlink r:id="rId192" ref="J197"/>
    <hyperlink r:id="rId193" ref="J198"/>
    <hyperlink r:id="rId194" ref="J199"/>
    <hyperlink r:id="rId195" ref="J200"/>
    <hyperlink r:id="rId196" ref="J201"/>
    <hyperlink r:id="rId197" ref="J202"/>
    <hyperlink r:id="rId198" ref="J203"/>
    <hyperlink r:id="rId199" ref="J204"/>
    <hyperlink r:id="rId200" ref="J205"/>
    <hyperlink r:id="rId201" ref="J206"/>
    <hyperlink r:id="rId202" ref="J207"/>
    <hyperlink r:id="rId203" ref="J208"/>
    <hyperlink r:id="rId204" ref="J209"/>
    <hyperlink r:id="rId205" ref="J210"/>
    <hyperlink r:id="rId206" ref="J211"/>
    <hyperlink r:id="rId207" ref="J212"/>
    <hyperlink r:id="rId208" ref="J213"/>
    <hyperlink r:id="rId209" ref="J214"/>
    <hyperlink r:id="rId210" ref="J215"/>
    <hyperlink r:id="rId211" ref="J216"/>
    <hyperlink r:id="rId212" ref="J217"/>
    <hyperlink r:id="rId213" ref="J218"/>
    <hyperlink r:id="rId214" ref="J219"/>
    <hyperlink r:id="rId215" ref="J220"/>
    <hyperlink r:id="rId216" ref="J221"/>
    <hyperlink r:id="rId217" ref="J222"/>
    <hyperlink r:id="rId218" ref="J223"/>
    <hyperlink r:id="rId219" ref="J224"/>
    <hyperlink r:id="rId220" ref="J225"/>
    <hyperlink r:id="rId221" ref="J226"/>
    <hyperlink r:id="rId222" ref="J227"/>
    <hyperlink r:id="rId223" ref="J228"/>
    <hyperlink r:id="rId224" ref="J229"/>
    <hyperlink r:id="rId225" ref="J230"/>
    <hyperlink r:id="rId226" ref="J231"/>
    <hyperlink r:id="rId227" ref="J232"/>
    <hyperlink r:id="rId228" ref="J233"/>
    <hyperlink r:id="rId229" ref="J234"/>
    <hyperlink r:id="rId230" ref="J235"/>
    <hyperlink r:id="rId231" ref="J236"/>
    <hyperlink r:id="rId232" ref="J237"/>
    <hyperlink r:id="rId233" ref="J238"/>
    <hyperlink r:id="rId234" ref="J239"/>
    <hyperlink r:id="rId235" ref="J240"/>
    <hyperlink r:id="rId236" ref="J241"/>
    <hyperlink r:id="rId237" ref="J242"/>
    <hyperlink r:id="rId238" ref="J243"/>
    <hyperlink r:id="rId239" ref="J244"/>
    <hyperlink r:id="rId240" ref="J245"/>
    <hyperlink r:id="rId241" ref="J246"/>
    <hyperlink r:id="rId242" ref="J247"/>
    <hyperlink r:id="rId243" ref="J248"/>
    <hyperlink r:id="rId244" ref="J249"/>
    <hyperlink r:id="rId245" ref="J250"/>
    <hyperlink r:id="rId246" ref="J251"/>
    <hyperlink r:id="rId247" ref="J252"/>
    <hyperlink r:id="rId248" ref="J253"/>
    <hyperlink r:id="rId249" ref="J254"/>
    <hyperlink r:id="rId250" ref="J255"/>
    <hyperlink r:id="rId251" ref="J256"/>
    <hyperlink r:id="rId252" ref="J257"/>
    <hyperlink r:id="rId253" ref="J258"/>
    <hyperlink r:id="rId254" ref="J259"/>
    <hyperlink r:id="rId255" ref="J260"/>
    <hyperlink r:id="rId256" ref="J261"/>
    <hyperlink r:id="rId257" ref="J262"/>
    <hyperlink r:id="rId258" ref="J263"/>
    <hyperlink r:id="rId259" ref="J264"/>
    <hyperlink r:id="rId260" ref="J265"/>
    <hyperlink r:id="rId261" ref="J266"/>
    <hyperlink r:id="rId262" ref="J267"/>
    <hyperlink r:id="rId263" ref="J268"/>
    <hyperlink r:id="rId264" ref="J269"/>
    <hyperlink r:id="rId265" ref="J270"/>
    <hyperlink r:id="rId266" ref="J271"/>
    <hyperlink r:id="rId267" ref="J272"/>
    <hyperlink r:id="rId268" ref="J273"/>
    <hyperlink r:id="rId269" ref="J274"/>
    <hyperlink r:id="rId270" ref="J275"/>
    <hyperlink r:id="rId271" ref="J276"/>
    <hyperlink r:id="rId272" ref="J277"/>
    <hyperlink r:id="rId273" ref="J278"/>
    <hyperlink r:id="rId274" ref="J279"/>
    <hyperlink r:id="rId275" ref="J280"/>
    <hyperlink r:id="rId276" ref="J281"/>
    <hyperlink r:id="rId277" ref="J282"/>
    <hyperlink r:id="rId278" ref="J283"/>
    <hyperlink r:id="rId279" ref="J284"/>
    <hyperlink r:id="rId280" ref="J285"/>
    <hyperlink r:id="rId281" ref="J286"/>
    <hyperlink r:id="rId282" ref="J287"/>
    <hyperlink r:id="rId283" ref="J288"/>
    <hyperlink r:id="rId284" ref="J289"/>
    <hyperlink r:id="rId285" ref="J290"/>
    <hyperlink r:id="rId286" ref="J291"/>
    <hyperlink r:id="rId287" ref="J292"/>
    <hyperlink r:id="rId288" ref="J293"/>
    <hyperlink r:id="rId289" ref="J294"/>
    <hyperlink r:id="rId290" ref="J295"/>
    <hyperlink r:id="rId291" ref="J296"/>
    <hyperlink r:id="rId292" ref="J297"/>
    <hyperlink r:id="rId293" ref="J298"/>
    <hyperlink r:id="rId294" ref="J299"/>
    <hyperlink r:id="rId295" ref="J300"/>
    <hyperlink r:id="rId296" ref="J301"/>
    <hyperlink r:id="rId297" ref="J302"/>
    <hyperlink r:id="rId298" ref="J303"/>
  </hyperlinks>
  <drawing r:id="rId299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2">
      <c r="B2" s="95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7"/>
    </row>
    <row r="3">
      <c r="B3" s="98"/>
      <c r="C3" s="99" t="s">
        <v>318</v>
      </c>
      <c r="Z3" s="100"/>
    </row>
    <row r="4">
      <c r="B4" s="98"/>
      <c r="Z4" s="100"/>
    </row>
    <row r="5">
      <c r="B5" s="98"/>
      <c r="Z5" s="100"/>
    </row>
    <row r="6">
      <c r="B6" s="98"/>
      <c r="Z6" s="100"/>
    </row>
    <row r="7">
      <c r="B7" s="98"/>
      <c r="Z7" s="100"/>
    </row>
    <row r="8">
      <c r="B8" s="98"/>
      <c r="Z8" s="100"/>
    </row>
    <row r="9">
      <c r="B9" s="98"/>
      <c r="Z9" s="100"/>
    </row>
    <row r="10">
      <c r="B10" s="98"/>
      <c r="Z10" s="100"/>
    </row>
    <row r="11">
      <c r="B11" s="98"/>
      <c r="Z11" s="100"/>
    </row>
    <row r="12">
      <c r="B12" s="98"/>
      <c r="Z12" s="100"/>
    </row>
    <row r="13">
      <c r="B13" s="98"/>
      <c r="Z13" s="100"/>
    </row>
    <row r="14">
      <c r="B14" s="98"/>
      <c r="Z14" s="100"/>
    </row>
    <row r="15">
      <c r="B15" s="98"/>
      <c r="Z15" s="100"/>
    </row>
    <row r="16">
      <c r="B16" s="98"/>
      <c r="Z16" s="100"/>
    </row>
    <row r="17">
      <c r="B17" s="98"/>
      <c r="Z17" s="100"/>
    </row>
    <row r="18">
      <c r="B18" s="98"/>
      <c r="Z18" s="100"/>
    </row>
    <row r="19">
      <c r="B19" s="98"/>
      <c r="Z19" s="100"/>
    </row>
    <row r="20">
      <c r="B20" s="98"/>
      <c r="Z20" s="100"/>
    </row>
    <row r="21">
      <c r="B21" s="98"/>
      <c r="Z21" s="100"/>
    </row>
    <row r="22">
      <c r="B22" s="98"/>
      <c r="Z22" s="100"/>
    </row>
    <row r="23">
      <c r="B23" s="98"/>
      <c r="Z23" s="100"/>
    </row>
    <row r="24">
      <c r="B24" s="98"/>
      <c r="Z24" s="100"/>
    </row>
    <row r="25">
      <c r="B25" s="98"/>
      <c r="Z25" s="100"/>
    </row>
    <row r="26">
      <c r="B26" s="98"/>
      <c r="Z26" s="100"/>
    </row>
    <row r="27">
      <c r="B27" s="98"/>
      <c r="Z27" s="100"/>
    </row>
    <row r="28">
      <c r="B28" s="98"/>
      <c r="Z28" s="100"/>
    </row>
    <row r="29">
      <c r="B29" s="98"/>
      <c r="Z29" s="100"/>
    </row>
    <row r="30">
      <c r="B30" s="98"/>
      <c r="Z30" s="100"/>
    </row>
    <row r="31">
      <c r="B31" s="98"/>
      <c r="Z31" s="100"/>
    </row>
    <row r="32">
      <c r="B32" s="98"/>
      <c r="Z32" s="100"/>
    </row>
    <row r="33">
      <c r="B33" s="98"/>
      <c r="Z33" s="100"/>
    </row>
    <row r="34">
      <c r="B34" s="98"/>
      <c r="Z34" s="100"/>
    </row>
    <row r="35">
      <c r="B35" s="98"/>
      <c r="Z35" s="100"/>
    </row>
    <row r="36">
      <c r="B36" s="98"/>
      <c r="Z36" s="100"/>
    </row>
    <row r="37">
      <c r="B37" s="98"/>
      <c r="Z37" s="100"/>
    </row>
    <row r="38">
      <c r="B38" s="98"/>
      <c r="Z38" s="100"/>
    </row>
    <row r="39">
      <c r="B39" s="98"/>
      <c r="Z39" s="100"/>
    </row>
    <row r="40">
      <c r="B40" s="98"/>
      <c r="Z40" s="100"/>
    </row>
    <row r="41">
      <c r="B41" s="98"/>
      <c r="Z41" s="100"/>
    </row>
    <row r="42">
      <c r="B42" s="98"/>
      <c r="Z42" s="100"/>
    </row>
    <row r="43">
      <c r="B43" s="98"/>
      <c r="Z43" s="100"/>
    </row>
    <row r="44">
      <c r="B44" s="98"/>
      <c r="Z44" s="100"/>
    </row>
    <row r="45">
      <c r="B45" s="98"/>
      <c r="Z45" s="100"/>
    </row>
    <row r="46">
      <c r="B46" s="98"/>
      <c r="Z46" s="100"/>
    </row>
    <row r="47">
      <c r="B47" s="98"/>
      <c r="Z47" s="100"/>
    </row>
    <row r="48">
      <c r="B48" s="98"/>
      <c r="Z48" s="100"/>
    </row>
    <row r="49">
      <c r="B49" s="98"/>
      <c r="Z49" s="100"/>
    </row>
    <row r="50">
      <c r="B50" s="98"/>
      <c r="Z50" s="100"/>
    </row>
    <row r="51">
      <c r="B51" s="98"/>
      <c r="Z51" s="100"/>
    </row>
    <row r="52">
      <c r="B52" s="98"/>
      <c r="Z52" s="100"/>
    </row>
    <row r="53">
      <c r="B53" s="98"/>
      <c r="Z53" s="100"/>
    </row>
    <row r="54">
      <c r="B54" s="98"/>
      <c r="Z54" s="100"/>
    </row>
    <row r="55">
      <c r="B55" s="98"/>
      <c r="Z55" s="100"/>
    </row>
    <row r="56">
      <c r="B56" s="98"/>
      <c r="Z56" s="100"/>
    </row>
    <row r="57">
      <c r="B57" s="98"/>
      <c r="Z57" s="100"/>
    </row>
    <row r="58">
      <c r="B58" s="98"/>
      <c r="Z58" s="100"/>
    </row>
    <row r="59">
      <c r="B59" s="98"/>
      <c r="Z59" s="100"/>
    </row>
    <row r="60">
      <c r="B60" s="98"/>
      <c r="Z60" s="100"/>
    </row>
    <row r="61">
      <c r="B61" s="98"/>
      <c r="Z61" s="100"/>
    </row>
    <row r="62">
      <c r="B62" s="98"/>
      <c r="Z62" s="100"/>
    </row>
    <row r="63">
      <c r="B63" s="98"/>
      <c r="Z63" s="100"/>
    </row>
    <row r="64">
      <c r="B64" s="98"/>
      <c r="Z64" s="100"/>
    </row>
    <row r="65">
      <c r="B65" s="98"/>
      <c r="Z65" s="100"/>
    </row>
    <row r="66">
      <c r="B66" s="98"/>
      <c r="Z66" s="100"/>
    </row>
    <row r="67">
      <c r="B67" s="98"/>
      <c r="Z67" s="100"/>
    </row>
    <row r="68">
      <c r="B68" s="98"/>
      <c r="Z68" s="100"/>
    </row>
    <row r="69">
      <c r="B69" s="98"/>
      <c r="Z69" s="100"/>
    </row>
    <row r="70">
      <c r="B70" s="98"/>
      <c r="Z70" s="100"/>
    </row>
    <row r="71">
      <c r="B71" s="98"/>
      <c r="Z71" s="100"/>
    </row>
    <row r="72">
      <c r="B72" s="98"/>
      <c r="Z72" s="100"/>
    </row>
    <row r="73">
      <c r="B73" s="98"/>
      <c r="Z73" s="100"/>
    </row>
    <row r="74">
      <c r="B74" s="98"/>
      <c r="Z74" s="100"/>
    </row>
    <row r="75">
      <c r="B75" s="98"/>
      <c r="Z75" s="100"/>
    </row>
    <row r="76">
      <c r="B76" s="98"/>
      <c r="Z76" s="100"/>
    </row>
    <row r="77">
      <c r="B77" s="98"/>
      <c r="Z77" s="100"/>
    </row>
    <row r="78">
      <c r="B78" s="98"/>
      <c r="Z78" s="100"/>
    </row>
    <row r="79">
      <c r="B79" s="98"/>
      <c r="Z79" s="100"/>
    </row>
    <row r="80">
      <c r="B80" s="101"/>
      <c r="C80" s="102"/>
      <c r="D80" s="102"/>
      <c r="E80" s="102"/>
      <c r="F80" s="102"/>
      <c r="G80" s="102"/>
      <c r="H80" s="102"/>
      <c r="I80" s="102"/>
      <c r="J80" s="102"/>
      <c r="K80" s="102"/>
      <c r="L80" s="102"/>
      <c r="M80" s="102"/>
      <c r="N80" s="102"/>
      <c r="O80" s="102"/>
      <c r="P80" s="102"/>
      <c r="Q80" s="102"/>
      <c r="R80" s="102"/>
      <c r="S80" s="102"/>
      <c r="T80" s="102"/>
      <c r="U80" s="102"/>
      <c r="V80" s="102"/>
      <c r="W80" s="102"/>
      <c r="X80" s="102"/>
      <c r="Y80" s="102"/>
      <c r="Z80" s="103"/>
    </row>
    <row r="82">
      <c r="B82" s="95"/>
      <c r="C82" s="96"/>
      <c r="D82" s="96"/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7"/>
    </row>
    <row r="83">
      <c r="B83" s="98"/>
      <c r="C83" s="99" t="s">
        <v>319</v>
      </c>
      <c r="Z83" s="100"/>
    </row>
    <row r="84">
      <c r="B84" s="98"/>
      <c r="Z84" s="100"/>
    </row>
    <row r="85">
      <c r="B85" s="98"/>
      <c r="Z85" s="100"/>
    </row>
    <row r="86">
      <c r="B86" s="98"/>
      <c r="Z86" s="100"/>
    </row>
    <row r="87">
      <c r="B87" s="98"/>
      <c r="Z87" s="100"/>
    </row>
    <row r="88">
      <c r="B88" s="98"/>
      <c r="Z88" s="100"/>
    </row>
    <row r="89">
      <c r="B89" s="98"/>
      <c r="Z89" s="100"/>
    </row>
    <row r="90">
      <c r="B90" s="98"/>
      <c r="Z90" s="100"/>
    </row>
    <row r="91">
      <c r="B91" s="98"/>
      <c r="Z91" s="100"/>
    </row>
    <row r="92">
      <c r="B92" s="98"/>
      <c r="Z92" s="100"/>
    </row>
    <row r="93">
      <c r="B93" s="98"/>
      <c r="Z93" s="100"/>
    </row>
    <row r="94">
      <c r="B94" s="98"/>
      <c r="Z94" s="100"/>
    </row>
    <row r="95">
      <c r="B95" s="98"/>
      <c r="Z95" s="100"/>
    </row>
    <row r="96">
      <c r="B96" s="98"/>
      <c r="Z96" s="100"/>
    </row>
    <row r="97">
      <c r="B97" s="98"/>
      <c r="Z97" s="100"/>
    </row>
    <row r="98">
      <c r="B98" s="98"/>
      <c r="Z98" s="100"/>
    </row>
    <row r="99">
      <c r="B99" s="98"/>
      <c r="Z99" s="100"/>
    </row>
    <row r="100">
      <c r="B100" s="98"/>
      <c r="Z100" s="100"/>
    </row>
    <row r="101">
      <c r="B101" s="98"/>
      <c r="Z101" s="100"/>
    </row>
    <row r="102">
      <c r="B102" s="98"/>
      <c r="Z102" s="100"/>
    </row>
    <row r="103">
      <c r="B103" s="98"/>
      <c r="Z103" s="100"/>
    </row>
    <row r="104">
      <c r="B104" s="98"/>
      <c r="Z104" s="100"/>
    </row>
    <row r="105">
      <c r="B105" s="98"/>
      <c r="Z105" s="100"/>
    </row>
    <row r="106">
      <c r="B106" s="98"/>
      <c r="Z106" s="100"/>
    </row>
    <row r="107">
      <c r="B107" s="98"/>
      <c r="Z107" s="100"/>
    </row>
    <row r="108">
      <c r="B108" s="98"/>
      <c r="Z108" s="100"/>
    </row>
    <row r="109">
      <c r="B109" s="98"/>
      <c r="Z109" s="100"/>
    </row>
    <row r="110">
      <c r="B110" s="98"/>
      <c r="Z110" s="100"/>
    </row>
    <row r="111">
      <c r="B111" s="98"/>
      <c r="Z111" s="100"/>
    </row>
    <row r="112">
      <c r="B112" s="98"/>
      <c r="Z112" s="100"/>
    </row>
    <row r="113">
      <c r="B113" s="98"/>
      <c r="Z113" s="100"/>
    </row>
    <row r="114">
      <c r="B114" s="98"/>
      <c r="Z114" s="100"/>
    </row>
    <row r="115">
      <c r="B115" s="98"/>
      <c r="Z115" s="100"/>
    </row>
    <row r="116">
      <c r="B116" s="98"/>
      <c r="Z116" s="100"/>
    </row>
    <row r="117">
      <c r="B117" s="98"/>
      <c r="Z117" s="100"/>
    </row>
    <row r="118">
      <c r="B118" s="98"/>
      <c r="Z118" s="100"/>
    </row>
    <row r="119">
      <c r="B119" s="98"/>
      <c r="Z119" s="100"/>
    </row>
    <row r="120">
      <c r="B120" s="98"/>
      <c r="Z120" s="100"/>
    </row>
    <row r="121">
      <c r="B121" s="98"/>
      <c r="Z121" s="100"/>
    </row>
    <row r="122">
      <c r="B122" s="98"/>
      <c r="Z122" s="100"/>
    </row>
    <row r="123">
      <c r="B123" s="98"/>
      <c r="Z123" s="100"/>
    </row>
    <row r="124">
      <c r="B124" s="98"/>
      <c r="Z124" s="100"/>
    </row>
    <row r="125">
      <c r="B125" s="98"/>
      <c r="Z125" s="100"/>
    </row>
    <row r="126">
      <c r="B126" s="98"/>
      <c r="Z126" s="100"/>
    </row>
    <row r="127">
      <c r="B127" s="98"/>
      <c r="Z127" s="100"/>
    </row>
    <row r="128">
      <c r="B128" s="98"/>
      <c r="Z128" s="100"/>
    </row>
    <row r="129">
      <c r="B129" s="98"/>
      <c r="Z129" s="100"/>
    </row>
    <row r="130">
      <c r="B130" s="98"/>
      <c r="Z130" s="100"/>
    </row>
    <row r="131">
      <c r="B131" s="98"/>
      <c r="Z131" s="100"/>
    </row>
    <row r="132">
      <c r="B132" s="98"/>
      <c r="Z132" s="100"/>
    </row>
    <row r="133">
      <c r="B133" s="98"/>
      <c r="Z133" s="100"/>
    </row>
    <row r="134">
      <c r="B134" s="98"/>
      <c r="Z134" s="100"/>
    </row>
    <row r="135">
      <c r="B135" s="98"/>
      <c r="Z135" s="100"/>
    </row>
    <row r="136">
      <c r="B136" s="98"/>
      <c r="Z136" s="100"/>
    </row>
    <row r="137">
      <c r="B137" s="98"/>
      <c r="Z137" s="100"/>
    </row>
    <row r="138">
      <c r="B138" s="98"/>
      <c r="Z138" s="100"/>
    </row>
    <row r="139">
      <c r="B139" s="98"/>
      <c r="Z139" s="100"/>
    </row>
    <row r="140">
      <c r="B140" s="98"/>
      <c r="Z140" s="100"/>
    </row>
    <row r="141">
      <c r="B141" s="98"/>
      <c r="Z141" s="100"/>
    </row>
    <row r="142">
      <c r="B142" s="98"/>
      <c r="Z142" s="100"/>
    </row>
    <row r="143">
      <c r="B143" s="98"/>
      <c r="Z143" s="100"/>
    </row>
    <row r="144">
      <c r="B144" s="98"/>
      <c r="Z144" s="100"/>
    </row>
    <row r="145">
      <c r="B145" s="98"/>
      <c r="Z145" s="100"/>
    </row>
    <row r="146">
      <c r="B146" s="98"/>
      <c r="Z146" s="100"/>
    </row>
    <row r="147">
      <c r="B147" s="98"/>
      <c r="Z147" s="100"/>
    </row>
    <row r="148">
      <c r="B148" s="98"/>
      <c r="Z148" s="100"/>
    </row>
    <row r="149">
      <c r="B149" s="98"/>
      <c r="Z149" s="100"/>
    </row>
    <row r="150">
      <c r="B150" s="98"/>
      <c r="Z150" s="100"/>
    </row>
    <row r="151">
      <c r="B151" s="98"/>
      <c r="Z151" s="100"/>
    </row>
    <row r="152">
      <c r="B152" s="98"/>
      <c r="Z152" s="100"/>
    </row>
    <row r="153">
      <c r="B153" s="98"/>
      <c r="Z153" s="100"/>
    </row>
    <row r="154">
      <c r="B154" s="98"/>
      <c r="Z154" s="100"/>
    </row>
    <row r="155">
      <c r="B155" s="98"/>
      <c r="Z155" s="100"/>
    </row>
    <row r="156">
      <c r="B156" s="98"/>
      <c r="Z156" s="100"/>
    </row>
    <row r="157">
      <c r="B157" s="98"/>
      <c r="Z157" s="100"/>
    </row>
    <row r="158">
      <c r="B158" s="98"/>
      <c r="Z158" s="100"/>
    </row>
    <row r="159">
      <c r="B159" s="98"/>
      <c r="Z159" s="100"/>
    </row>
    <row r="160">
      <c r="B160" s="101"/>
      <c r="C160" s="102"/>
      <c r="D160" s="102"/>
      <c r="E160" s="102"/>
      <c r="F160" s="102"/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102"/>
      <c r="V160" s="102"/>
      <c r="W160" s="102"/>
      <c r="X160" s="102"/>
      <c r="Y160" s="102"/>
      <c r="Z160" s="103"/>
    </row>
  </sheetData>
  <mergeCells count="2">
    <mergeCell ref="C3:F4"/>
    <mergeCell ref="C83:F8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